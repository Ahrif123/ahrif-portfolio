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Requirements" sheetId="2" state="visible" r:id="rId4"/>
    <sheet name="Test Case" sheetId="3" state="visible" r:id="rId5"/>
    <sheet name="RTM" sheetId="4" state="visible" r:id="rId6"/>
    <sheet name="Defects" sheetId="5" state="visible" r:id="rId7"/>
    <sheet name="Template" sheetId="6" state="visible" r:id="rId8"/>
    <sheet name="TC_COM_001" sheetId="7" state="visible" r:id="rId9"/>
    <sheet name="TC_COM_002" sheetId="8" state="visible" r:id="rId10"/>
    <sheet name="TC_COM_003" sheetId="9" state="visible" r:id="rId11"/>
    <sheet name="TC_COM_004" sheetId="10" state="visible" r:id="rId12"/>
    <sheet name="TC_COM_005" sheetId="11" state="visible" r:id="rId13"/>
    <sheet name="TC_COM_006" sheetId="12" state="visible" r:id="rId14"/>
    <sheet name="TC_COM_007" sheetId="13" state="visible" r:id="rId15"/>
    <sheet name="TC_COM_008" sheetId="14" state="visible" r:id="rId16"/>
    <sheet name="TC_COM_009" sheetId="15" state="visible" r:id="rId17"/>
    <sheet name="TC_COM_010" sheetId="16" state="visible" r:id="rId18"/>
    <sheet name="TC_COM_011" sheetId="17" state="visible" r:id="rId19"/>
    <sheet name="TC_COM_012" sheetId="18" state="visible" r:id="rId20"/>
    <sheet name="TC_COM_013" sheetId="19" state="visible" r:id="rId21"/>
    <sheet name="TC_COM_014" sheetId="20" state="visible" r:id="rId22"/>
    <sheet name="TC_COM_015" sheetId="21" state="visible" r:id="rId23"/>
    <sheet name="TC_COM_016" sheetId="22" state="visible" r:id="rId24"/>
    <sheet name="TC_COM_017" sheetId="23" state="visible" r:id="rId25"/>
    <sheet name="TC_COM_018" sheetId="24" state="visible" r:id="rId26"/>
    <sheet name="TC_COM_019" sheetId="25" state="visible" r:id="rId27"/>
    <sheet name="TC_COM_020" sheetId="26" state="visible" r:id="rId28"/>
    <sheet name="TC_COM_021" sheetId="27" state="visible" r:id="rId29"/>
  </sheets>
  <definedNames>
    <definedName function="false" hidden="true" localSheetId="2" name="_xlnm._FilterDatabase" vbProcedure="false">'Test Case'!$A$3:$O$24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Enter the date you run the tests.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" authorId="0">
      <text>
        <r>
          <rPr>
            <sz val="10"/>
            <rFont val="Arial"/>
            <family val="2"/>
          </rPr>
          <t xml:space="preserve">Expected result is based on how the live site appears to work. Confirm it against MUSÉA's actual rules (limits, messages) before running.</t>
        </r>
      </text>
    </comment>
    <comment ref="K7" authorId="0">
      <text>
        <r>
          <rPr>
            <sz val="10"/>
            <rFont val="Arial"/>
            <family val="2"/>
          </rPr>
          <t xml:space="preserve">Expected result is based on how the live site appears to work. Confirm it against MUSÉA's actual rules (limits, messages) before running.</t>
        </r>
      </text>
    </comment>
    <comment ref="K8" authorId="0">
      <text>
        <r>
          <rPr>
            <sz val="10"/>
            <rFont val="Arial"/>
            <family val="2"/>
          </rPr>
          <t xml:space="preserve">Expected result is based on how the live site appears to work. Confirm it against MUSÉA's actual rules (limits, messages) before running.</t>
        </r>
      </text>
    </comment>
    <comment ref="K9" authorId="0">
      <text>
        <r>
          <rPr>
            <sz val="10"/>
            <rFont val="Arial"/>
            <family val="2"/>
          </rPr>
          <t xml:space="preserve">Expected result is based on how the live site appears to work. Confirm it against MUSÉA's actual rules (limits, messages) before running.</t>
        </r>
      </text>
    </comment>
    <comment ref="K11" authorId="0">
      <text>
        <r>
          <rPr>
            <sz val="10"/>
            <rFont val="Arial"/>
            <family val="2"/>
          </rPr>
          <t xml:space="preserve">Expected result is based on how the live site appears to work. Confirm it against MUSÉA's actual rules (limits, messages) before running.</t>
        </r>
      </text>
    </comment>
    <comment ref="K18" authorId="0">
      <text>
        <r>
          <rPr>
            <sz val="10"/>
            <rFont val="Arial"/>
            <family val="2"/>
          </rPr>
          <t xml:space="preserve">Expected result is based on how the live site appears to work. Confirm it against MUSÉA's actual rules (limits, messages) before running.</t>
        </r>
      </text>
    </comment>
    <comment ref="K19" authorId="0">
      <text>
        <r>
          <rPr>
            <sz val="10"/>
            <rFont val="Arial"/>
            <family val="2"/>
          </rPr>
          <t xml:space="preserve">Expected result is based on how the live site appears to work. Confirm it against MUSÉA's actual rules (limits, messages) before running.</t>
        </r>
      </text>
    </comment>
  </commentList>
</comments>
</file>

<file path=xl/sharedStrings.xml><?xml version="1.0" encoding="utf-8"?>
<sst xmlns="http://schemas.openxmlformats.org/spreadsheetml/2006/main" count="829" uniqueCount="314">
  <si>
    <t xml:space="preserve">MUSÉA Comments Test Suite</t>
  </si>
  <si>
    <t xml:space="preserve">Project Information</t>
  </si>
  <si>
    <t xml:space="preserve">Project Name</t>
  </si>
  <si>
    <t xml:space="preserve">MUSÉA</t>
  </si>
  <si>
    <t xml:space="preserve">Module</t>
  </si>
  <si>
    <t xml:space="preserve">Artwork Page</t>
  </si>
  <si>
    <t xml:space="preserve">Sub Module</t>
  </si>
  <si>
    <t xml:space="preserve">Comments</t>
  </si>
  <si>
    <t xml:space="preserve">Test Date</t>
  </si>
  <si>
    <t xml:space="preserve">QA Assigned</t>
  </si>
  <si>
    <t xml:space="preserve">Ahrif Cruz</t>
  </si>
  <si>
    <t xml:space="preserve">Test Environment</t>
  </si>
  <si>
    <t xml:space="preserve">Production</t>
  </si>
  <si>
    <t xml:space="preserve">https://musea-eta.vercel.app</t>
  </si>
  <si>
    <t xml:space="preserve">Browser</t>
  </si>
  <si>
    <t xml:space="preserve">Google Chrome (latest), desktop and 360px device mode</t>
  </si>
  <si>
    <t xml:space="preserve">Test Accounts</t>
  </si>
  <si>
    <t xml:space="preserve">Test User A (comment author) and Test User B (another user). Use test accounts only.</t>
  </si>
  <si>
    <t xml:space="preserve">Passwords</t>
  </si>
  <si>
    <t xml:space="preserve">Never store passwords in this file. Keep them in a password manager.</t>
  </si>
  <si>
    <t xml:space="preserve">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</si>
  <si>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</si>
  <si>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</si>
  <si>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</si>
  <si>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</si>
  <si>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Not Run</t>
  </si>
  <si>
    <t xml:space="preserve">Positive / Negative / Edge / UI</t>
  </si>
  <si>
    <t xml:space="preserve">Pass Rate (of executed)</t>
  </si>
  <si>
    <t xml:space="preserve">Open Defects</t>
  </si>
  <si>
    <t xml:space="preserve">How to Use</t>
  </si>
  <si>
    <t xml:space="preserve">Yellow cells</t>
  </si>
  <si>
    <t xml:space="preserve">Fill these in while testing: Test Date, Actual Result, Status and Defect ID.</t>
  </si>
  <si>
    <t xml:space="preserve">Status</t>
  </si>
  <si>
    <t xml:space="preserve">Choose from the dropdown: Passed, Failed, Blocked or Not Run.</t>
  </si>
  <si>
    <t xml:space="preserve">TC tabs</t>
  </si>
  <si>
    <t xml:space="preserve">Click a TC # on the Test Case sheet to open its step-by-step tab.</t>
  </si>
  <si>
    <t xml:space="preserve">Example row</t>
  </si>
  <si>
    <t xml:space="preserve">TC_COM_018 is already executed (Failed, BUG-MUS-001) to show the expected format.</t>
  </si>
  <si>
    <t xml:space="preserve">Marked cells</t>
  </si>
  <si>
    <t xml:space="preserve">Cells with a red corner note carry an assumption to confirm before running.</t>
  </si>
  <si>
    <t xml:space="preserve">Requirements</t>
  </si>
  <si>
    <t xml:space="preserve">Written from the features visible on the live site. Confirm each one against your own spec.</t>
  </si>
  <si>
    <t xml:space="preserve">Req ID</t>
  </si>
  <si>
    <t xml:space="preserve">Requirement</t>
  </si>
  <si>
    <t xml:space="preserve">REQ-COM-01</t>
  </si>
  <si>
    <t xml:space="preserve">Signed-in users can post a comment on an artwork.</t>
  </si>
  <si>
    <t xml:space="preserve">REQ-COM-02</t>
  </si>
  <si>
    <t xml:space="preserve">Each comment shows the author, their level and when it was posted.</t>
  </si>
  <si>
    <t xml:space="preserve">REQ-COM-03</t>
  </si>
  <si>
    <t xml:space="preserve">Users can delete their own comments, and only their own.</t>
  </si>
  <si>
    <t xml:space="preserve">REQ-COM-04</t>
  </si>
  <si>
    <t xml:space="preserve">Users can reply to a comment.</t>
  </si>
  <si>
    <t xml:space="preserve">REQ-COM-05</t>
  </si>
  <si>
    <t xml:space="preserve">Users can add and remove reactions on a comment.</t>
  </si>
  <si>
    <t xml:space="preserve">REQ-COM-06</t>
  </si>
  <si>
    <t xml:space="preserve">Users can report another user's comment.</t>
  </si>
  <si>
    <t xml:space="preserve">REQ-COM-07</t>
  </si>
  <si>
    <t xml:space="preserve">Signed-out visitors can read comments but cannot post, react or report.</t>
  </si>
  <si>
    <t xml:space="preserve">REQ-COM-08</t>
  </si>
  <si>
    <t xml:space="preserve">The comment box rejects empty, over-limit and unsafe input, and limits posting speed.</t>
  </si>
  <si>
    <t xml:space="preserve">REQ-COM-09</t>
  </si>
  <si>
    <t xml:space="preserve">Comment actions look consistent, work with a keyboard and fit on small screens.</t>
  </si>
  <si>
    <t xml:space="preserve">MUSÉA: Comments</t>
  </si>
  <si>
    <t xml:space="preserve">Click a TC # to open its steps. Fill in the yellow columns while testing.</t>
  </si>
  <si>
    <t xml:space="preserve">TC #</t>
  </si>
  <si>
    <t xml:space="preserve">TC Name</t>
  </si>
  <si>
    <t xml:space="preserve">Type</t>
  </si>
  <si>
    <t xml:space="preserve">Priority</t>
  </si>
  <si>
    <t xml:space="preserve">Preconditions</t>
  </si>
  <si>
    <t xml:space="preserve">Test Data</t>
  </si>
  <si>
    <t xml:space="preserve">Test Case Scenario</t>
  </si>
  <si>
    <t xml:space="preserve">Expected Results</t>
  </si>
  <si>
    <t xml:space="preserve">Actual Result</t>
  </si>
  <si>
    <t xml:space="preserve">Defect ID</t>
  </si>
  <si>
    <t xml:space="preserve">Generate Document (Y/N)</t>
  </si>
  <si>
    <t xml:space="preserve">TC_COM_001</t>
  </si>
  <si>
    <t xml:space="preserve">Post a Comment</t>
  </si>
  <si>
    <t xml:space="preserve">Positive</t>
  </si>
  <si>
    <t xml:space="preserve">High</t>
  </si>
  <si>
    <t xml:space="preserve">Test User A is signed in.</t>
  </si>
  <si>
    <t xml:space="preserve">Comment text: "Love the colors in this piece."</t>
  </si>
  <si>
    <t xml:space="preserve">Verify that a signed-in user can post a comment on an artwork.</t>
  </si>
  <si>
    <t xml:space="preserve">The comment appears at the top of the comment list without a page refresh.</t>
  </si>
  <si>
    <t xml:space="preserve">Y</t>
  </si>
  <si>
    <t xml:space="preserve">TC_COM_002</t>
  </si>
  <si>
    <t xml:space="preserve">Comment Details Display</t>
  </si>
  <si>
    <t xml:space="preserve">Medium</t>
  </si>
  <si>
    <t xml:space="preserve">A comment exists on the artwork.</t>
  </si>
  <si>
    <t xml:space="preserve">None</t>
  </si>
  <si>
    <t xml:space="preserve">Verify that each comment shows the author name, level and posted time.</t>
  </si>
  <si>
    <t xml:space="preserve">Each comment shows the author name, "Lv" level and a relative time such as "2 weeks ago".</t>
  </si>
  <si>
    <t xml:space="preserve">TC_COM_003</t>
  </si>
  <si>
    <t xml:space="preserve">Post an Empty Comment</t>
  </si>
  <si>
    <t xml:space="preserve">Negative</t>
  </si>
  <si>
    <t xml:space="preserve">Comment text: (empty)</t>
  </si>
  <si>
    <t xml:space="preserve">Verify that an empty comment cannot be posted.</t>
  </si>
  <si>
    <t xml:space="preserve">The Post button stays disabled, or a clear message asks for text. No comment is saved.</t>
  </si>
  <si>
    <t xml:space="preserve">TC_COM_004</t>
  </si>
  <si>
    <t xml:space="preserve">Post a Spaces-Only Comment</t>
  </si>
  <si>
    <t xml:space="preserve">Comment text: 5 spaces</t>
  </si>
  <si>
    <t xml:space="preserve">Verify that a comment containing only spaces cannot be posted.</t>
  </si>
  <si>
    <t xml:space="preserve">The comment is rejected the same way as an empty comment.</t>
  </si>
  <si>
    <t xml:space="preserve">TC_COM_005</t>
  </si>
  <si>
    <t xml:space="preserve">Post a Comment at the Length Limit</t>
  </si>
  <si>
    <t xml:space="preserve">Edge</t>
  </si>
  <si>
    <t xml:space="preserve">Test User A is signed in. The comment length limit is known.</t>
  </si>
  <si>
    <t xml:space="preserve">Text exactly at the limit (e.g. 500 characters)</t>
  </si>
  <si>
    <t xml:space="preserve">Verify that a comment exactly at the maximum length can be posted.</t>
  </si>
  <si>
    <t xml:space="preserve">The full comment is saved and displayed with nothing cut off.</t>
  </si>
  <si>
    <t xml:space="preserve">TC_COM_006</t>
  </si>
  <si>
    <t xml:space="preserve">Post a Comment Over the Length Limit</t>
  </si>
  <si>
    <t xml:space="preserve">Text one character over the limit</t>
  </si>
  <si>
    <t xml:space="preserve">Verify that a comment longer than the limit is blocked.</t>
  </si>
  <si>
    <t xml:space="preserve">Typing stops at the limit, or a clear message explains the limit. Nothing over the limit is saved.</t>
  </si>
  <si>
    <t xml:space="preserve">TC_COM_007</t>
  </si>
  <si>
    <t xml:space="preserve">Post a Comment Containing HTML/Script Text</t>
  </si>
  <si>
    <t xml:space="preserve">Comment text: &lt;script&gt;alert(1)&lt;/script&gt; &lt;b&gt;bold&lt;/b&gt;</t>
  </si>
  <si>
    <t xml:space="preserve">Verify that HTML or script typed into a comment is shown as plain text and never runs.</t>
  </si>
  <si>
    <t xml:space="preserve">The comment shows the text exactly as typed. No alert pops up and nothing turns bold.</t>
  </si>
  <si>
    <t xml:space="preserve">TC_COM_008</t>
  </si>
  <si>
    <t xml:space="preserve">Post Comments Too Quickly (Spam Limit)</t>
  </si>
  <si>
    <t xml:space="preserve">5 short comments posted back to back</t>
  </si>
  <si>
    <t xml:space="preserve">Verify that posting many comments in a short time is limited.</t>
  </si>
  <si>
    <t xml:space="preserve">After the limit is reached, a message asks the user to wait. Extra comments are not saved.</t>
  </si>
  <si>
    <t xml:space="preserve">TC_COM_009</t>
  </si>
  <si>
    <t xml:space="preserve">Reply to a Comment</t>
  </si>
  <si>
    <t xml:space="preserve">Test User A is signed in. A comment from Test User B exists.</t>
  </si>
  <si>
    <t xml:space="preserve">Reply text: "Thank you!"</t>
  </si>
  <si>
    <t xml:space="preserve">Verify that a user can reply to an existing comment.</t>
  </si>
  <si>
    <t xml:space="preserve">The reply appears under the original comment and is clearly linked to it.</t>
  </si>
  <si>
    <t xml:space="preserve">TC_COM_010</t>
  </si>
  <si>
    <t xml:space="preserve">Delete Own Comment</t>
  </si>
  <si>
    <t xml:space="preserve">Test User A has posted a comment.</t>
  </si>
  <si>
    <t xml:space="preserve">Comment from TC_COM_001</t>
  </si>
  <si>
    <t xml:space="preserve">Verify that a user can delete their own comment.</t>
  </si>
  <si>
    <t xml:space="preserve">The comment is removed from the list and stays removed after a refresh.</t>
  </si>
  <si>
    <t xml:space="preserve">TC_COM_011</t>
  </si>
  <si>
    <t xml:space="preserve">Delete Not Offered on Other Users' Comments</t>
  </si>
  <si>
    <t xml:space="preserve">Verify that Delete is not shown on comments written by other users.</t>
  </si>
  <si>
    <t xml:space="preserve">Other users' comments show Reply and Report only. Delete is not shown.</t>
  </si>
  <si>
    <t xml:space="preserve">TC_COM_012</t>
  </si>
  <si>
    <t xml:space="preserve">Block Deleting Another User's Comment Through the API</t>
  </si>
  <si>
    <t xml:space="preserve">Test User B is signed in. Test User A has a comment. Browser DevTools is open.</t>
  </si>
  <si>
    <t xml:space="preserve">ID of Test User A's comment</t>
  </si>
  <si>
    <t xml:space="preserve">Verify that the server refuses a delete request for another user's comment, even when the request is sent directly.</t>
  </si>
  <si>
    <t xml:space="preserve">The request is rejected (or deletes nothing) and Test User A's comment is still there after a refresh.</t>
  </si>
  <si>
    <t xml:space="preserve">TC_COM_013</t>
  </si>
  <si>
    <t xml:space="preserve">Add a Reaction to a Comment</t>
  </si>
  <si>
    <t xml:space="preserve">Reaction: heart</t>
  </si>
  <si>
    <t xml:space="preserve">Verify that a user can react to a comment.</t>
  </si>
  <si>
    <t xml:space="preserve">The heart is highlighted and its count goes up by 1.</t>
  </si>
  <si>
    <t xml:space="preserve">TC_COM_014</t>
  </si>
  <si>
    <t xml:space="preserve">Remove a Reaction</t>
  </si>
  <si>
    <t xml:space="preserve">Test User A has reacted to a comment.</t>
  </si>
  <si>
    <t xml:space="preserve">Verify that clicking an active reaction again removes it.</t>
  </si>
  <si>
    <t xml:space="preserve">The heart is no longer highlighted and the count goes down by 1.</t>
  </si>
  <si>
    <t xml:space="preserve">TC_COM_015</t>
  </si>
  <si>
    <t xml:space="preserve">Report Another User's Comment</t>
  </si>
  <si>
    <t xml:space="preserve">Reason: Spam</t>
  </si>
  <si>
    <t xml:space="preserve">Verify that a user can report another user's comment.</t>
  </si>
  <si>
    <t xml:space="preserve">A confirmation message appears and the report is recorded.</t>
  </si>
  <si>
    <t xml:space="preserve">TC_COM_016</t>
  </si>
  <si>
    <t xml:space="preserve">Report the Same Comment Twice</t>
  </si>
  <si>
    <t xml:space="preserve">Low</t>
  </si>
  <si>
    <t xml:space="preserve">Test User A has already reported the comment.</t>
  </si>
  <si>
    <t xml:space="preserve">Same comment as TC_COM_015</t>
  </si>
  <si>
    <t xml:space="preserve">Verify that a user cannot report the same comment twice.</t>
  </si>
  <si>
    <t xml:space="preserve">The second report is blocked, or the button shows it was already reported.</t>
  </si>
  <si>
    <t xml:space="preserve">TC_COM_017</t>
  </si>
  <si>
    <t xml:space="preserve">Signed-Out Visitor Sees Comments but Cannot Act</t>
  </si>
  <si>
    <t xml:space="preserve">The visitor is signed out.</t>
  </si>
  <si>
    <t xml:space="preserve">Verify that a signed-out visitor can read comments but must sign in to post, react or report.</t>
  </si>
  <si>
    <t xml:space="preserve">Comments are visible. Trying to post, react or report leads to sign-in instead.</t>
  </si>
  <si>
    <t xml:space="preserve">TC_COM_018</t>
  </si>
  <si>
    <t xml:space="preserve">Comment Action Alignment</t>
  </si>
  <si>
    <t xml:space="preserve">UI</t>
  </si>
  <si>
    <t xml:space="preserve">Test User A has a comment, and a comment from Test User B exists.</t>
  </si>
  <si>
    <t xml:space="preserve">Verify that the comment action links line up and share one text style.</t>
  </si>
  <si>
    <t xml:space="preserve">Reply, Delete and Report sit on the same line and use the same style.</t>
  </si>
  <si>
    <t xml:space="preserve">Delete and Report sit about 3px lower than Reply, and only Delete/Report are underlined.</t>
  </si>
  <si>
    <t xml:space="preserve">BUG-MUS-001</t>
  </si>
  <si>
    <t xml:space="preserve">TC_COM_019</t>
  </si>
  <si>
    <t xml:space="preserve">Use Comment Actions with a Keyboard</t>
  </si>
  <si>
    <t xml:space="preserve">Verify that every comment action can be reached and used with the keyboard alone.</t>
  </si>
  <si>
    <t xml:space="preserve">Tab moves through each action with a visible focus outline, and Enter activates it.</t>
  </si>
  <si>
    <t xml:space="preserve">TC_COM_020</t>
  </si>
  <si>
    <t xml:space="preserve">Comments on a Small Phone Screen</t>
  </si>
  <si>
    <t xml:space="preserve">Screen width: 360px</t>
  </si>
  <si>
    <t xml:space="preserve">Verify that the comment section fits a 360px-wide screen.</t>
  </si>
  <si>
    <t xml:space="preserve">Nothing overflows sideways and all actions remain readable and tappable.</t>
  </si>
  <si>
    <t xml:space="preserve">TC_COM_021</t>
  </si>
  <si>
    <t xml:space="preserve">Comments in Dark Mode</t>
  </si>
  <si>
    <t xml:space="preserve">Dark mode is on.</t>
  </si>
  <si>
    <t xml:space="preserve">Verify that comments stay readable in dark mode.</t>
  </si>
  <si>
    <t xml:space="preserve">All comment text, actions and reactions are readable against the dark background.</t>
  </si>
  <si>
    <t xml:space="preserve">Requirements Traceability Matrix</t>
  </si>
  <si>
    <t xml:space="preserve">Test Cases</t>
  </si>
  <si>
    <t xml:space="preserve">No. of TCs</t>
  </si>
  <si>
    <t xml:space="preserve">Coverage</t>
  </si>
  <si>
    <t xml:space="preserve">TC_COM_010, TC_COM_011, TC_COM_012</t>
  </si>
  <si>
    <t xml:space="preserve">TC_COM_013, TC_COM_014</t>
  </si>
  <si>
    <t xml:space="preserve">TC_COM_015, TC_COM_016</t>
  </si>
  <si>
    <t xml:space="preserve">TC_COM_003, TC_COM_004, TC_COM_005, TC_COM_006, TC_COM_007, TC_COM_008</t>
  </si>
  <si>
    <t xml:space="preserve">TC_COM_018, TC_COM_019, TC_COM_020, TC_COM_021</t>
  </si>
  <si>
    <t xml:space="preserve">Defect Log</t>
  </si>
  <si>
    <t xml:space="preserve">Title</t>
  </si>
  <si>
    <t xml:space="preserve">Severity</t>
  </si>
  <si>
    <t xml:space="preserve">Found</t>
  </si>
  <si>
    <t xml:space="preserve">Expected</t>
  </si>
  <si>
    <t xml:space="preserve">Actual</t>
  </si>
  <si>
    <t xml:space="preserve">Notes</t>
  </si>
  <si>
    <t xml:space="preserve">Comment actions are misaligned (Reply vs. Delete and Report)</t>
  </si>
  <si>
    <t xml:space="preserve">2026-10-15</t>
  </si>
  <si>
    <t xml:space="preserve">Open</t>
  </si>
  <si>
    <t xml:space="preserve">Reply and Delete/Report sit on the same line and use the same text style.</t>
  </si>
  <si>
    <t xml:space="preserve">Delete and Report sit about 3px lower than Reply. Only Delete and Report are underlined.</t>
  </si>
  <si>
    <t xml:space="preserve">Full report: /qa#bug-mus-001 on the portfolio site.</t>
  </si>
  <si>
    <t xml:space="preserve">Scenario</t>
  </si>
  <si>
    <t xml:space="preserve">(Scenario)</t>
  </si>
  <si>
    <t xml:space="preserve">(TC Name)</t>
  </si>
  <si>
    <t xml:space="preserve">TC_COM_000</t>
  </si>
  <si>
    <t xml:space="preserve">Back to Test Case list</t>
  </si>
  <si>
    <t xml:space="preserve">Step No</t>
  </si>
  <si>
    <t xml:space="preserve">Description</t>
  </si>
  <si>
    <t xml:space="preserve">Expected Result</t>
  </si>
  <si>
    <t xml:space="preserve">(Step description)</t>
  </si>
  <si>
    <t xml:space="preserve">(Expected result for this step)</t>
  </si>
  <si>
    <t xml:space="preserve">Open https://musea-eta.vercel.app and log in as Test User A.</t>
  </si>
  <si>
    <t xml:space="preserve">Test User A is logged in and sees the home page.</t>
  </si>
  <si>
    <t xml:space="preserve">Open any artwork page that has at least one comment.</t>
  </si>
  <si>
    <t xml:space="preserve">The artwork page and comment section load.</t>
  </si>
  <si>
    <t xml:space="preserve">Type the test comment in the comment box.</t>
  </si>
  <si>
    <t xml:space="preserve">The text appears in the box and the Post button becomes active.</t>
  </si>
  <si>
    <t xml:space="preserve">Click Post.</t>
  </si>
  <si>
    <t xml:space="preserve">The comment appears in the list with Test User A as the author.</t>
  </si>
  <si>
    <t xml:space="preserve">Test User A is logged in.</t>
  </si>
  <si>
    <t xml:space="preserve">The comment section loads.</t>
  </si>
  <si>
    <t xml:space="preserve">Check the header line of each comment.</t>
  </si>
  <si>
    <t xml:space="preserve">Author name, level and relative time are shown for every comment.</t>
  </si>
  <si>
    <t xml:space="preserve">Leave the comment box empty and click Post.</t>
  </si>
  <si>
    <t xml:space="preserve">Nothing is posted. The button is disabled or a message asks for text.</t>
  </si>
  <si>
    <t xml:space="preserve">Refresh the page.</t>
  </si>
  <si>
    <t xml:space="preserve">No empty comment appears in the list.</t>
  </si>
  <si>
    <t xml:space="preserve">Type five spaces in the comment box and click Post.</t>
  </si>
  <si>
    <t xml:space="preserve">Nothing is posted.</t>
  </si>
  <si>
    <t xml:space="preserve">No blank comment appears in the list.</t>
  </si>
  <si>
    <t xml:space="preserve">Paste text exactly at the length limit and click Post.</t>
  </si>
  <si>
    <t xml:space="preserve">The comment is posted.</t>
  </si>
  <si>
    <t xml:space="preserve">Compare the posted text with the test data.</t>
  </si>
  <si>
    <t xml:space="preserve">All characters are shown; nothing is cut off.</t>
  </si>
  <si>
    <t xml:space="preserve">Paste text one character over the limit.</t>
  </si>
  <si>
    <t xml:space="preserve">The box stops at the limit or shows a character warning.</t>
  </si>
  <si>
    <t xml:space="preserve">The over-limit comment is not saved.</t>
  </si>
  <si>
    <t xml:space="preserve">Type the test data in the comment box and click Post.</t>
  </si>
  <si>
    <t xml:space="preserve">Check the posted comment and refresh the page.</t>
  </si>
  <si>
    <t xml:space="preserve">The text is shown literally. No alert box appears at any point.</t>
  </si>
  <si>
    <t xml:space="preserve">Post five short comments as fast as possible.</t>
  </si>
  <si>
    <t xml:space="preserve">The first comments post normally.</t>
  </si>
  <si>
    <t xml:space="preserve">Check the message after the limit is hit.</t>
  </si>
  <si>
    <t xml:space="preserve">A clear "please wait" style message appears and extra comments are not saved.</t>
  </si>
  <si>
    <t xml:space="preserve">Click Reply under Test User B's comment.</t>
  </si>
  <si>
    <t xml:space="preserve">A reply box opens under that comment.</t>
  </si>
  <si>
    <t xml:space="preserve">Type the reply and post it.</t>
  </si>
  <si>
    <t xml:space="preserve">The reply appears nested under the original comment.</t>
  </si>
  <si>
    <t xml:space="preserve">Open the artwork where Test User A commented.</t>
  </si>
  <si>
    <t xml:space="preserve">Test User A's comment shows Reply and Delete.</t>
  </si>
  <si>
    <t xml:space="preserve">Click Delete and confirm if asked.</t>
  </si>
  <si>
    <t xml:space="preserve">The comment disappears from the list.</t>
  </si>
  <si>
    <t xml:space="preserve">The deleted comment does not come back.</t>
  </si>
  <si>
    <t xml:space="preserve">Look at the actions under Test User B's comment.</t>
  </si>
  <si>
    <t xml:space="preserve">Only Reply and Report are shown. There is no Delete option.</t>
  </si>
  <si>
    <t xml:space="preserve">Log in as Test User B and open the artwork with Test User A's comment.</t>
  </si>
  <si>
    <t xml:space="preserve">In DevTools, Network tab, delete one of Test User B's own comments and copy that request.</t>
  </si>
  <si>
    <t xml:space="preserve">The delete request for Test User B's comment is visible.</t>
  </si>
  <si>
    <t xml:space="preserve">Resend the request with Test User A's comment ID instead.</t>
  </si>
  <si>
    <t xml:space="preserve">The request fails or affects 0 rows.</t>
  </si>
  <si>
    <t xml:space="preserve">Test User A's comment is still shown.</t>
  </si>
  <si>
    <t xml:space="preserve">Click the heart reaction under a comment.</t>
  </si>
  <si>
    <t xml:space="preserve">The heart is highlighted and the count goes up by 1.</t>
  </si>
  <si>
    <t xml:space="preserve">The reaction and count are still shown.</t>
  </si>
  <si>
    <t xml:space="preserve">Open the artwork from TC_COM_013.</t>
  </si>
  <si>
    <t xml:space="preserve">The heart reaction is highlighted.</t>
  </si>
  <si>
    <t xml:space="preserve">Click the highlighted heart again.</t>
  </si>
  <si>
    <t xml:space="preserve">The highlight is removed and the count goes down by 1.</t>
  </si>
  <si>
    <t xml:space="preserve">Click Report under Test User B's comment.</t>
  </si>
  <si>
    <t xml:space="preserve">A report form or confirmation opens.</t>
  </si>
  <si>
    <t xml:space="preserve">Choose a reason (if asked) and submit.</t>
  </si>
  <si>
    <t xml:space="preserve">A confirmation message appears.</t>
  </si>
  <si>
    <t xml:space="preserve">Open the artwork from TC_COM_015.</t>
  </si>
  <si>
    <t xml:space="preserve">Click Report on the same comment again.</t>
  </si>
  <si>
    <t xml:space="preserve">The site shows it was already reported and no duplicate report is created.</t>
  </si>
  <si>
    <t xml:space="preserve">Open https://musea-eta.vercel.app in a private window (signed out).</t>
  </si>
  <si>
    <t xml:space="preserve">The home page loads.</t>
  </si>
  <si>
    <t xml:space="preserve">Comments are visible.</t>
  </si>
  <si>
    <t xml:space="preserve">Try to type a comment, click a reaction and click Report.</t>
  </si>
  <si>
    <t xml:space="preserve">Each action asks the visitor to sign in. Nothing is saved.</t>
  </si>
  <si>
    <t xml:space="preserve">As expected.</t>
  </si>
  <si>
    <t xml:space="preserve">Compare the action row under Test User A's comment (Reply, Delete).</t>
  </si>
  <si>
    <t xml:space="preserve">Reply and Delete line up and match in style.</t>
  </si>
  <si>
    <t xml:space="preserve">Delete sits about 3px lower than Reply and is underlined; Reply is not.</t>
  </si>
  <si>
    <t xml:space="preserve">Compare the action row under Test User B's comment (Reply, Report).</t>
  </si>
  <si>
    <t xml:space="preserve">Reply and Report line up and match in style.</t>
  </si>
  <si>
    <t xml:space="preserve">Report sits about 3px lower than Reply and is underlined; Reply is not.</t>
  </si>
  <si>
    <t xml:space="preserve">Press Tab repeatedly through the comment section.</t>
  </si>
  <si>
    <t xml:space="preserve">Each reaction, Reply, Delete and Report gets a visible focus outline.</t>
  </si>
  <si>
    <t xml:space="preserve">Press Enter on Reply.</t>
  </si>
  <si>
    <t xml:space="preserve">The reply box opens.</t>
  </si>
  <si>
    <t xml:space="preserve">Open https://musea-eta.vercel.app in Chrome DevTools device mode at 360px wide.</t>
  </si>
  <si>
    <t xml:space="preserve">The site loads in the mobile layout.</t>
  </si>
  <si>
    <t xml:space="preserve">Scroll through the comments.</t>
  </si>
  <si>
    <t xml:space="preserve">No sideways scrolling. Text wraps and actions are easy to tap.</t>
  </si>
  <si>
    <t xml:space="preserve">Switch the site to dark mode.</t>
  </si>
  <si>
    <t xml:space="preserve">The site changes to dark colors.</t>
  </si>
  <si>
    <t xml:space="preserve">Comment text, actions and reaction counts are all clearly readable.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</si>
</sst>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23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11"/>
      <color rgb="FF4A5468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color rgb="FF1A223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238"/>
        <bgColor rgb="FF003366"/>
      </patternFill>
    </fill>
    <fill>
      <patternFill patternType="solid">
        <fgColor rgb="FFFFF2A8"/>
        <bgColor rgb="FFFFE7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ED8"/>
      </left>
      <right style="thin">
        <color rgb="FFC7CED8"/>
      </right>
      <top style="thin">
        <color rgb="FFC7CED8"/>
      </top>
      <bottom style="thin">
        <color rgb="FFC7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A22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FBD5E2"/>
          <bgColor rgb="FF000000"/>
        </patternFill>
      </fill>
    </dxf>
    <dxf>
      <fill>
        <patternFill>
          <bgColor rgb="FFD6F0E3"/>
        </patternFill>
      </fill>
    </dxf>
    <dxf>
      <fill>
        <patternFill>
          <bgColor rgb="FFFBD5E2"/>
        </patternFill>
      </fill>
    </dxf>
    <dxf>
      <fill>
        <patternFill>
          <bgColor rgb="FFFFE7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7C2"/>
      <rgbColor rgb="FFCCFFFF"/>
      <rgbColor rgb="FF660066"/>
      <rgbColor rgb="FFFF8080"/>
      <rgbColor rgb="FF0563C1"/>
      <rgbColor rgb="FFC7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3"/>
      <rgbColor rgb="FFFFF2A8"/>
      <rgbColor rgb="FF99CCFF"/>
      <rgbColor rgb="FFFF99CC"/>
      <rgbColor rgb="FFCC99FF"/>
      <rgbColor rgb="FFFBD5E2"/>
      <rgbColor rgb="FF3366FF"/>
      <rgbColor rgb="FF33CCCC"/>
      <rgbColor rgb="FF99CC00"/>
      <rgbColor rgb="FFFFCC00"/>
      <rgbColor rgb="FFFF9900"/>
      <rgbColor rgb="FFFF6600"/>
      <rgbColor rgb="FF4A54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USEA_Comments_Test_Cases.xlsx" TargetMode="External"/><Relationship Id="rId3" Type="http://schemas.openxmlformats.org/officeDocument/2006/relationships/hyperlink" Target="MUSEA_Comments_Test_Cases.xlsx" TargetMode="External"/><Relationship Id="rId4" Type="http://schemas.openxmlformats.org/officeDocument/2006/relationships/hyperlink" Target="MUSEA_Comments_Test_Cases.xlsx" TargetMode="External"/><Relationship Id="rId5" Type="http://schemas.openxmlformats.org/officeDocument/2006/relationships/hyperlink" Target="MUSEA_Comments_Test_Cases.xlsx" TargetMode="External"/><Relationship Id="rId6" Type="http://schemas.openxmlformats.org/officeDocument/2006/relationships/hyperlink" Target="MUSEA_Comments_Test_Cases.xlsx" TargetMode="External"/><Relationship Id="rId7" Type="http://schemas.openxmlformats.org/officeDocument/2006/relationships/hyperlink" Target="MUSEA_Comments_Test_Cases.xlsx" TargetMode="External"/><Relationship Id="rId8" Type="http://schemas.openxmlformats.org/officeDocument/2006/relationships/hyperlink" Target="MUSEA_Comments_Test_Cases.xlsx" TargetMode="External"/><Relationship Id="rId9" Type="http://schemas.openxmlformats.org/officeDocument/2006/relationships/hyperlink" Target="MUSEA_Comments_Test_Cases.xlsx" TargetMode="External"/><Relationship Id="rId10" Type="http://schemas.openxmlformats.org/officeDocument/2006/relationships/hyperlink" Target="MUSEA_Comments_Test_Cases.xlsx" TargetMode="External"/><Relationship Id="rId11" Type="http://schemas.openxmlformats.org/officeDocument/2006/relationships/hyperlink" Target="MUSEA_Comments_Test_Cases.xlsx" TargetMode="External"/><Relationship Id="rId12" Type="http://schemas.openxmlformats.org/officeDocument/2006/relationships/hyperlink" Target="MUSEA_Comments_Test_Cases.xlsx" TargetMode="External"/><Relationship Id="rId13" Type="http://schemas.openxmlformats.org/officeDocument/2006/relationships/hyperlink" Target="MUSEA_Comments_Test_Cases.xlsx" TargetMode="External"/><Relationship Id="rId14" Type="http://schemas.openxmlformats.org/officeDocument/2006/relationships/hyperlink" Target="MUSEA_Comments_Test_Cases.xlsx" TargetMode="External"/><Relationship Id="rId15" Type="http://schemas.openxmlformats.org/officeDocument/2006/relationships/hyperlink" Target="MUSEA_Comments_Test_Cases.xlsx" TargetMode="External"/><Relationship Id="rId16" Type="http://schemas.openxmlformats.org/officeDocument/2006/relationships/hyperlink" Target="MUSEA_Comments_Test_Cases.xlsx" TargetMode="External"/><Relationship Id="rId17" Type="http://schemas.openxmlformats.org/officeDocument/2006/relationships/hyperlink" Target="MUSEA_Comments_Test_Cases.xlsx" TargetMode="External"/><Relationship Id="rId18" Type="http://schemas.openxmlformats.org/officeDocument/2006/relationships/hyperlink" Target="MUSEA_Comments_Test_Cases.xlsx" TargetMode="External"/><Relationship Id="rId19" Type="http://schemas.openxmlformats.org/officeDocument/2006/relationships/hyperlink" Target="MUSEA_Comments_Test_Cases.xlsx" TargetMode="External"/><Relationship Id="rId20" Type="http://schemas.openxmlformats.org/officeDocument/2006/relationships/hyperlink" Target="MUSEA_Comments_Test_Cases.xlsx" TargetMode="External"/><Relationship Id="rId21" Type="http://schemas.openxmlformats.org/officeDocument/2006/relationships/hyperlink" Target="MUSEA_Comments_Test_Cases.xlsx" TargetMode="External"/><Relationship Id="rId22" Type="http://schemas.openxmlformats.org/officeDocument/2006/relationships/hyperlink" Target="MUSEA_Comments_Test_Cases.xlsx" TargetMode="External"/><Relationship Id="rId23" Type="http://schemas.openxmlformats.org/officeDocument/2006/relationships/drawing" Target="../drawings/drawing1.xml"/><Relationship Id="rId24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MUSEA_Comments_Test_Case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6"/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2" t="s">
        <v>11</v>
      </c>
      <c r="B9" s="3"/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4" t="s">
        <v>14</v>
      </c>
      <c r="B11" s="5" t="s">
        <v>15</v>
      </c>
    </row>
    <row r="12" customFormat="false" ht="26.85" hidden="false" customHeight="false" outlineLevel="0" collapsed="false">
      <c r="A12" s="4" t="s">
        <v>16</v>
      </c>
      <c r="B12" s="5" t="s">
        <v>17</v>
      </c>
    </row>
    <row r="13" customFormat="false" ht="26.85" hidden="false" customHeight="false" outlineLevel="0" collapsed="false">
      <c r="A13" s="4" t="s">
        <v>18</v>
      </c>
      <c r="B13" s="5" t="s">
        <v>19</v>
      </c>
    </row>
    <row r="15" customFormat="false" ht="15" hidden="false" customHeight="false" outlineLevel="0" collapsed="false">
      <c r="A15" s="2" t="s">
        <v>20</v>
      </c>
      <c r="B15" s="7"/>
    </row>
    <row r="16" customFormat="false" ht="15" hidden="false" customHeight="false" outlineLevel="0" collapsed="false">
      <c r="A16" s="4" t="s">
        <v>21</v>
      </c>
      <c r="B16" s="8" t="n">
        <f aca="false">COUNTA('Test Case'!A4:A24)</f>
        <v>21</v>
      </c>
    </row>
    <row r="17" customFormat="false" ht="15" hidden="false" customHeight="false" outlineLevel="0" collapsed="false">
      <c r="A17" s="4" t="s">
        <v>22</v>
      </c>
      <c r="B17" s="8" t="n">
        <f aca="false">COUNTIF('Test Case'!M4:M24,"Passed")</f>
        <v>0</v>
      </c>
    </row>
    <row r="18" customFormat="false" ht="15" hidden="false" customHeight="false" outlineLevel="0" collapsed="false">
      <c r="A18" s="4" t="s">
        <v>23</v>
      </c>
      <c r="B18" s="8" t="n">
        <f aca="false">COUNTIF('Test Case'!M4:M24,"Failed")</f>
        <v>1</v>
      </c>
    </row>
    <row r="19" customFormat="false" ht="15" hidden="false" customHeight="false" outlineLevel="0" collapsed="false">
      <c r="A19" s="4" t="s">
        <v>24</v>
      </c>
      <c r="B19" s="8" t="n">
        <f aca="false">COUNTIF('Test Case'!M4:M24,"Blocked")</f>
        <v>0</v>
      </c>
    </row>
    <row r="20" customFormat="false" ht="15" hidden="false" customHeight="false" outlineLevel="0" collapsed="false">
      <c r="A20" s="4" t="s">
        <v>25</v>
      </c>
      <c r="B20" s="8" t="n">
        <f aca="false">COUNTIF('Test Case'!M4:M24,"Not Run")</f>
        <v>20</v>
      </c>
    </row>
    <row r="21" customFormat="false" ht="15" hidden="false" customHeight="false" outlineLevel="0" collapsed="false">
      <c r="A21" s="4" t="s">
        <v>26</v>
      </c>
      <c r="B21" s="8" t="str">
        <f aca="false">COUNTIF('Test Case'!F4:F24,"Positive")&amp;" / "&amp;COUNTIF('Test Case'!F4:F24,"Negative")&amp;" / "&amp;COUNTIF('Test Case'!F4:F24,"Edge")&amp;" / "&amp;COUNTIF('Test Case'!F4:F24,"UI")</f>
        <v>8 / 9 / 1 / 3</v>
      </c>
    </row>
    <row r="22" customFormat="false" ht="15" hidden="false" customHeight="false" outlineLevel="0" collapsed="false">
      <c r="A22" s="4" t="s">
        <v>27</v>
      </c>
      <c r="B22" s="9" t="n">
        <f aca="false">IFERROR(B17/(B17+B18+B19),0)</f>
        <v>0</v>
      </c>
    </row>
    <row r="23" customFormat="false" ht="15" hidden="false" customHeight="false" outlineLevel="0" collapsed="false">
      <c r="A23" s="4" t="s">
        <v>28</v>
      </c>
      <c r="B23" s="8" t="n">
        <f aca="false">COUNTIF(Defects!G4:G100,"Open")</f>
        <v>1</v>
      </c>
    </row>
    <row r="25" customFormat="false" ht="15" hidden="false" customHeight="false" outlineLevel="0" collapsed="false">
      <c r="A25" s="2" t="s">
        <v>29</v>
      </c>
      <c r="B25" s="7"/>
    </row>
    <row r="26" customFormat="false" ht="26.85" hidden="false" customHeight="false" outlineLevel="0" collapsed="false">
      <c r="A26" s="4" t="s">
        <v>30</v>
      </c>
      <c r="B26" s="5" t="s">
        <v>31</v>
      </c>
    </row>
    <row r="27" customFormat="false" ht="15" hidden="false" customHeight="false" outlineLevel="0" collapsed="false">
      <c r="A27" s="4" t="s">
        <v>32</v>
      </c>
      <c r="B27" s="5" t="s">
        <v>33</v>
      </c>
    </row>
    <row r="28" customFormat="false" ht="15" hidden="false" customHeight="false" outlineLevel="0" collapsed="false">
      <c r="A28" s="4" t="s">
        <v>34</v>
      </c>
      <c r="B28" s="5" t="s">
        <v>35</v>
      </c>
    </row>
    <row r="29" customFormat="false" ht="26.85" hidden="false" customHeight="false" outlineLevel="0" collapsed="false">
      <c r="A29" s="4" t="s">
        <v>36</v>
      </c>
      <c r="B29" s="5" t="s">
        <v>37</v>
      </c>
    </row>
    <row r="30" customFormat="false" ht="26.85" hidden="false" customHeight="false" outlineLevel="0" collapsed="false">
      <c r="A30" s="4" t="s">
        <v>38</v>
      </c>
      <c r="B30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10" t="s">
        <v>41</v>
      </c>
    </row>
    <row r="3" customFormat="false" ht="15" hidden="false" customHeight="false" outlineLevel="0" collapsed="false">
      <c r="A3" s="11" t="s">
        <v>42</v>
      </c>
      <c r="B3" s="11" t="s">
        <v>43</v>
      </c>
    </row>
    <row r="4" customFormat="false" ht="15" hidden="false" customHeight="false" outlineLevel="0" collapsed="false">
      <c r="A4" s="12" t="s">
        <v>44</v>
      </c>
      <c r="B4" s="12" t="s">
        <v>45</v>
      </c>
    </row>
    <row r="5" customFormat="false" ht="15" hidden="false" customHeight="false" outlineLevel="0" collapsed="false">
      <c r="A5" s="12" t="s">
        <v>46</v>
      </c>
      <c r="B5" s="12" t="s">
        <v>47</v>
      </c>
    </row>
    <row r="6" customFormat="false" ht="15" hidden="false" customHeight="false" outlineLevel="0" collapsed="false">
      <c r="A6" s="12" t="s">
        <v>48</v>
      </c>
      <c r="B6" s="12" t="s">
        <v>49</v>
      </c>
    </row>
    <row r="7" customFormat="false" ht="15" hidden="false" customHeight="false" outlineLevel="0" collapsed="false">
      <c r="A7" s="12" t="s">
        <v>50</v>
      </c>
      <c r="B7" s="12" t="s">
        <v>51</v>
      </c>
    </row>
    <row r="8" customFormat="false" ht="15" hidden="false" customHeight="false" outlineLevel="0" collapsed="false">
      <c r="A8" s="12" t="s">
        <v>52</v>
      </c>
      <c r="B8" s="12" t="s">
        <v>53</v>
      </c>
    </row>
    <row r="9" customFormat="false" ht="15" hidden="false" customHeight="false" outlineLevel="0" collapsed="false">
      <c r="A9" s="12" t="s">
        <v>54</v>
      </c>
      <c r="B9" s="12" t="s">
        <v>55</v>
      </c>
    </row>
    <row r="10" customFormat="false" ht="15" hidden="false" customHeight="false" outlineLevel="0" collapsed="false">
      <c r="A10" s="12" t="s">
        <v>56</v>
      </c>
      <c r="B10" s="12" t="s">
        <v>57</v>
      </c>
    </row>
    <row r="11" customFormat="false" ht="15" hidden="false" customHeight="false" outlineLevel="0" collapsed="false">
      <c r="A11" s="12" t="s">
        <v>58</v>
      </c>
      <c r="B11" s="12" t="s">
        <v>59</v>
      </c>
    </row>
    <row r="12" customFormat="false" ht="15" hidden="false" customHeight="false" outlineLevel="0" collapsed="false">
      <c r="A12" s="12" t="s">
        <v>60</v>
      </c>
      <c r="B12" s="1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1" min="10" style="0" width="40"/>
    <col collapsed="false" customWidth="true" hidden="false" outlineLevel="0" max="12" min="12" style="0" width="3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10" t="s">
        <v>63</v>
      </c>
    </row>
    <row r="3" customFormat="false" ht="52.2" hidden="false" customHeight="false" outlineLevel="0" collapsed="false">
      <c r="A3" s="13" t="s">
        <v>64</v>
      </c>
      <c r="B3" s="13" t="s">
        <v>42</v>
      </c>
      <c r="C3" s="13" t="s">
        <v>65</v>
      </c>
      <c r="D3" s="13" t="s">
        <v>4</v>
      </c>
      <c r="E3" s="13" t="s">
        <v>6</v>
      </c>
      <c r="F3" s="13" t="s">
        <v>66</v>
      </c>
      <c r="G3" s="13" t="s">
        <v>67</v>
      </c>
      <c r="H3" s="13" t="s">
        <v>68</v>
      </c>
      <c r="I3" s="13" t="s">
        <v>69</v>
      </c>
      <c r="J3" s="13" t="s">
        <v>70</v>
      </c>
      <c r="K3" s="13" t="s">
        <v>71</v>
      </c>
      <c r="L3" s="13" t="s">
        <v>72</v>
      </c>
      <c r="M3" s="13" t="s">
        <v>32</v>
      </c>
      <c r="N3" s="13" t="s">
        <v>73</v>
      </c>
      <c r="O3" s="13" t="s">
        <v>74</v>
      </c>
    </row>
    <row r="4" customFormat="false" ht="26.85" hidden="false" customHeight="false" outlineLevel="0" collapsed="false">
      <c r="A4" s="14" t="s">
        <v>75</v>
      </c>
      <c r="B4" s="12" t="s">
        <v>44</v>
      </c>
      <c r="C4" s="12" t="s">
        <v>76</v>
      </c>
      <c r="D4" s="12" t="s">
        <v>5</v>
      </c>
      <c r="E4" s="12" t="s">
        <v>7</v>
      </c>
      <c r="F4" s="12" t="s">
        <v>77</v>
      </c>
      <c r="G4" s="12" t="s">
        <v>78</v>
      </c>
      <c r="H4" s="12" t="s">
        <v>79</v>
      </c>
      <c r="I4" s="12" t="s">
        <v>80</v>
      </c>
      <c r="J4" s="12" t="s">
        <v>81</v>
      </c>
      <c r="K4" s="12" t="s">
        <v>82</v>
      </c>
      <c r="L4" s="15"/>
      <c r="M4" s="15" t="s">
        <v>25</v>
      </c>
      <c r="N4" s="15"/>
      <c r="O4" s="12" t="s">
        <v>83</v>
      </c>
    </row>
    <row r="5" customFormat="false" ht="39.55" hidden="false" customHeight="false" outlineLevel="0" collapsed="false">
      <c r="A5" s="14" t="s">
        <v>84</v>
      </c>
      <c r="B5" s="12" t="s">
        <v>46</v>
      </c>
      <c r="C5" s="12" t="s">
        <v>85</v>
      </c>
      <c r="D5" s="12" t="s">
        <v>5</v>
      </c>
      <c r="E5" s="12" t="s">
        <v>7</v>
      </c>
      <c r="F5" s="12" t="s">
        <v>77</v>
      </c>
      <c r="G5" s="12" t="s">
        <v>86</v>
      </c>
      <c r="H5" s="12" t="s">
        <v>87</v>
      </c>
      <c r="I5" s="12" t="s">
        <v>88</v>
      </c>
      <c r="J5" s="12" t="s">
        <v>89</v>
      </c>
      <c r="K5" s="12" t="s">
        <v>90</v>
      </c>
      <c r="L5" s="15"/>
      <c r="M5" s="15" t="s">
        <v>25</v>
      </c>
      <c r="N5" s="15"/>
      <c r="O5" s="12" t="s">
        <v>83</v>
      </c>
    </row>
    <row r="6" customFormat="false" ht="39.55" hidden="false" customHeight="false" outlineLevel="0" collapsed="false">
      <c r="A6" s="14" t="s">
        <v>91</v>
      </c>
      <c r="B6" s="12" t="s">
        <v>58</v>
      </c>
      <c r="C6" s="12" t="s">
        <v>92</v>
      </c>
      <c r="D6" s="12" t="s">
        <v>5</v>
      </c>
      <c r="E6" s="12" t="s">
        <v>7</v>
      </c>
      <c r="F6" s="12" t="s">
        <v>93</v>
      </c>
      <c r="G6" s="12" t="s">
        <v>78</v>
      </c>
      <c r="H6" s="12" t="s">
        <v>79</v>
      </c>
      <c r="I6" s="12" t="s">
        <v>94</v>
      </c>
      <c r="J6" s="12" t="s">
        <v>95</v>
      </c>
      <c r="K6" s="12" t="s">
        <v>96</v>
      </c>
      <c r="L6" s="15"/>
      <c r="M6" s="15" t="s">
        <v>25</v>
      </c>
      <c r="N6" s="15"/>
      <c r="O6" s="12" t="s">
        <v>83</v>
      </c>
    </row>
    <row r="7" customFormat="false" ht="26.85" hidden="false" customHeight="false" outlineLevel="0" collapsed="false">
      <c r="A7" s="14" t="s">
        <v>97</v>
      </c>
      <c r="B7" s="12" t="s">
        <v>58</v>
      </c>
      <c r="C7" s="12" t="s">
        <v>98</v>
      </c>
      <c r="D7" s="12" t="s">
        <v>5</v>
      </c>
      <c r="E7" s="12" t="s">
        <v>7</v>
      </c>
      <c r="F7" s="12" t="s">
        <v>93</v>
      </c>
      <c r="G7" s="12" t="s">
        <v>86</v>
      </c>
      <c r="H7" s="12" t="s">
        <v>79</v>
      </c>
      <c r="I7" s="12" t="s">
        <v>99</v>
      </c>
      <c r="J7" s="12" t="s">
        <v>100</v>
      </c>
      <c r="K7" s="12" t="s">
        <v>101</v>
      </c>
      <c r="L7" s="15"/>
      <c r="M7" s="15" t="s">
        <v>25</v>
      </c>
      <c r="N7" s="15"/>
      <c r="O7" s="12" t="s">
        <v>83</v>
      </c>
    </row>
    <row r="8" customFormat="false" ht="26.85" hidden="false" customHeight="false" outlineLevel="0" collapsed="false">
      <c r="A8" s="14" t="s">
        <v>102</v>
      </c>
      <c r="B8" s="12" t="s">
        <v>58</v>
      </c>
      <c r="C8" s="12" t="s">
        <v>103</v>
      </c>
      <c r="D8" s="12" t="s">
        <v>5</v>
      </c>
      <c r="E8" s="12" t="s">
        <v>7</v>
      </c>
      <c r="F8" s="12" t="s">
        <v>104</v>
      </c>
      <c r="G8" s="12" t="s">
        <v>86</v>
      </c>
      <c r="H8" s="12" t="s">
        <v>105</v>
      </c>
      <c r="I8" s="12" t="s">
        <v>106</v>
      </c>
      <c r="J8" s="12" t="s">
        <v>107</v>
      </c>
      <c r="K8" s="12" t="s">
        <v>108</v>
      </c>
      <c r="L8" s="15"/>
      <c r="M8" s="15" t="s">
        <v>25</v>
      </c>
      <c r="N8" s="15"/>
      <c r="O8" s="12" t="s">
        <v>83</v>
      </c>
    </row>
    <row r="9" customFormat="false" ht="39.55" hidden="false" customHeight="false" outlineLevel="0" collapsed="false">
      <c r="A9" s="14" t="s">
        <v>109</v>
      </c>
      <c r="B9" s="12" t="s">
        <v>58</v>
      </c>
      <c r="C9" s="12" t="s">
        <v>110</v>
      </c>
      <c r="D9" s="12" t="s">
        <v>5</v>
      </c>
      <c r="E9" s="12" t="s">
        <v>7</v>
      </c>
      <c r="F9" s="12" t="s">
        <v>93</v>
      </c>
      <c r="G9" s="12" t="s">
        <v>86</v>
      </c>
      <c r="H9" s="12" t="s">
        <v>105</v>
      </c>
      <c r="I9" s="12" t="s">
        <v>111</v>
      </c>
      <c r="J9" s="12" t="s">
        <v>112</v>
      </c>
      <c r="K9" s="12" t="s">
        <v>113</v>
      </c>
      <c r="L9" s="15"/>
      <c r="M9" s="15" t="s">
        <v>25</v>
      </c>
      <c r="N9" s="15"/>
      <c r="O9" s="12" t="s">
        <v>83</v>
      </c>
    </row>
    <row r="10" customFormat="false" ht="39.55" hidden="false" customHeight="false" outlineLevel="0" collapsed="false">
      <c r="A10" s="14" t="s">
        <v>114</v>
      </c>
      <c r="B10" s="12" t="s">
        <v>58</v>
      </c>
      <c r="C10" s="12" t="s">
        <v>115</v>
      </c>
      <c r="D10" s="12" t="s">
        <v>5</v>
      </c>
      <c r="E10" s="12" t="s">
        <v>7</v>
      </c>
      <c r="F10" s="12" t="s">
        <v>93</v>
      </c>
      <c r="G10" s="12" t="s">
        <v>78</v>
      </c>
      <c r="H10" s="12" t="s">
        <v>79</v>
      </c>
      <c r="I10" s="12" t="s">
        <v>116</v>
      </c>
      <c r="J10" s="12" t="s">
        <v>117</v>
      </c>
      <c r="K10" s="12" t="s">
        <v>118</v>
      </c>
      <c r="L10" s="15"/>
      <c r="M10" s="15" t="s">
        <v>25</v>
      </c>
      <c r="N10" s="15"/>
      <c r="O10" s="12" t="s">
        <v>83</v>
      </c>
    </row>
    <row r="11" customFormat="false" ht="39.55" hidden="false" customHeight="false" outlineLevel="0" collapsed="false">
      <c r="A11" s="14" t="s">
        <v>119</v>
      </c>
      <c r="B11" s="12" t="s">
        <v>58</v>
      </c>
      <c r="C11" s="12" t="s">
        <v>120</v>
      </c>
      <c r="D11" s="12" t="s">
        <v>5</v>
      </c>
      <c r="E11" s="12" t="s">
        <v>7</v>
      </c>
      <c r="F11" s="12" t="s">
        <v>93</v>
      </c>
      <c r="G11" s="12" t="s">
        <v>86</v>
      </c>
      <c r="H11" s="12" t="s">
        <v>79</v>
      </c>
      <c r="I11" s="12" t="s">
        <v>121</v>
      </c>
      <c r="J11" s="12" t="s">
        <v>122</v>
      </c>
      <c r="K11" s="12" t="s">
        <v>123</v>
      </c>
      <c r="L11" s="15"/>
      <c r="M11" s="15" t="s">
        <v>25</v>
      </c>
      <c r="N11" s="15"/>
      <c r="O11" s="12" t="s">
        <v>83</v>
      </c>
    </row>
    <row r="12" customFormat="false" ht="39.55" hidden="false" customHeight="false" outlineLevel="0" collapsed="false">
      <c r="A12" s="14" t="s">
        <v>124</v>
      </c>
      <c r="B12" s="12" t="s">
        <v>50</v>
      </c>
      <c r="C12" s="12" t="s">
        <v>125</v>
      </c>
      <c r="D12" s="12" t="s">
        <v>5</v>
      </c>
      <c r="E12" s="12" t="s">
        <v>7</v>
      </c>
      <c r="F12" s="12" t="s">
        <v>77</v>
      </c>
      <c r="G12" s="12" t="s">
        <v>78</v>
      </c>
      <c r="H12" s="12" t="s">
        <v>126</v>
      </c>
      <c r="I12" s="12" t="s">
        <v>127</v>
      </c>
      <c r="J12" s="12" t="s">
        <v>128</v>
      </c>
      <c r="K12" s="12" t="s">
        <v>129</v>
      </c>
      <c r="L12" s="15"/>
      <c r="M12" s="15" t="s">
        <v>25</v>
      </c>
      <c r="N12" s="15"/>
      <c r="O12" s="12" t="s">
        <v>83</v>
      </c>
    </row>
    <row r="13" customFormat="false" ht="26.85" hidden="false" customHeight="false" outlineLevel="0" collapsed="false">
      <c r="A13" s="14" t="s">
        <v>130</v>
      </c>
      <c r="B13" s="12" t="s">
        <v>48</v>
      </c>
      <c r="C13" s="12" t="s">
        <v>131</v>
      </c>
      <c r="D13" s="12" t="s">
        <v>5</v>
      </c>
      <c r="E13" s="12" t="s">
        <v>7</v>
      </c>
      <c r="F13" s="12" t="s">
        <v>77</v>
      </c>
      <c r="G13" s="12" t="s">
        <v>78</v>
      </c>
      <c r="H13" s="12" t="s">
        <v>132</v>
      </c>
      <c r="I13" s="12" t="s">
        <v>133</v>
      </c>
      <c r="J13" s="12" t="s">
        <v>134</v>
      </c>
      <c r="K13" s="12" t="s">
        <v>135</v>
      </c>
      <c r="L13" s="15"/>
      <c r="M13" s="15" t="s">
        <v>25</v>
      </c>
      <c r="N13" s="15"/>
      <c r="O13" s="12" t="s">
        <v>83</v>
      </c>
    </row>
    <row r="14" customFormat="false" ht="39.55" hidden="false" customHeight="false" outlineLevel="0" collapsed="false">
      <c r="A14" s="14" t="s">
        <v>136</v>
      </c>
      <c r="B14" s="12" t="s">
        <v>48</v>
      </c>
      <c r="C14" s="12" t="s">
        <v>137</v>
      </c>
      <c r="D14" s="12" t="s">
        <v>5</v>
      </c>
      <c r="E14" s="12" t="s">
        <v>7</v>
      </c>
      <c r="F14" s="12" t="s">
        <v>93</v>
      </c>
      <c r="G14" s="12" t="s">
        <v>78</v>
      </c>
      <c r="H14" s="12" t="s">
        <v>126</v>
      </c>
      <c r="I14" s="12" t="s">
        <v>88</v>
      </c>
      <c r="J14" s="12" t="s">
        <v>138</v>
      </c>
      <c r="K14" s="12" t="s">
        <v>139</v>
      </c>
      <c r="L14" s="15"/>
      <c r="M14" s="15" t="s">
        <v>25</v>
      </c>
      <c r="N14" s="15"/>
      <c r="O14" s="12" t="s">
        <v>83</v>
      </c>
    </row>
    <row r="15" customFormat="false" ht="39.55" hidden="false" customHeight="false" outlineLevel="0" collapsed="false">
      <c r="A15" s="14" t="s">
        <v>140</v>
      </c>
      <c r="B15" s="12" t="s">
        <v>48</v>
      </c>
      <c r="C15" s="12" t="s">
        <v>141</v>
      </c>
      <c r="D15" s="12" t="s">
        <v>5</v>
      </c>
      <c r="E15" s="12" t="s">
        <v>7</v>
      </c>
      <c r="F15" s="12" t="s">
        <v>93</v>
      </c>
      <c r="G15" s="12" t="s">
        <v>78</v>
      </c>
      <c r="H15" s="12" t="s">
        <v>142</v>
      </c>
      <c r="I15" s="12" t="s">
        <v>143</v>
      </c>
      <c r="J15" s="12" t="s">
        <v>144</v>
      </c>
      <c r="K15" s="12" t="s">
        <v>145</v>
      </c>
      <c r="L15" s="15"/>
      <c r="M15" s="15" t="s">
        <v>25</v>
      </c>
      <c r="N15" s="15"/>
      <c r="O15" s="12" t="s">
        <v>83</v>
      </c>
    </row>
    <row r="16" customFormat="false" ht="26.85" hidden="false" customHeight="false" outlineLevel="0" collapsed="false">
      <c r="A16" s="14" t="s">
        <v>146</v>
      </c>
      <c r="B16" s="12" t="s">
        <v>52</v>
      </c>
      <c r="C16" s="12" t="s">
        <v>147</v>
      </c>
      <c r="D16" s="12" t="s">
        <v>5</v>
      </c>
      <c r="E16" s="12" t="s">
        <v>7</v>
      </c>
      <c r="F16" s="12" t="s">
        <v>77</v>
      </c>
      <c r="G16" s="12" t="s">
        <v>86</v>
      </c>
      <c r="H16" s="12" t="s">
        <v>79</v>
      </c>
      <c r="I16" s="12" t="s">
        <v>148</v>
      </c>
      <c r="J16" s="12" t="s">
        <v>149</v>
      </c>
      <c r="K16" s="12" t="s">
        <v>150</v>
      </c>
      <c r="L16" s="15"/>
      <c r="M16" s="15" t="s">
        <v>25</v>
      </c>
      <c r="N16" s="15"/>
      <c r="O16" s="12" t="s">
        <v>83</v>
      </c>
    </row>
    <row r="17" customFormat="false" ht="26.85" hidden="false" customHeight="false" outlineLevel="0" collapsed="false">
      <c r="A17" s="14" t="s">
        <v>151</v>
      </c>
      <c r="B17" s="12" t="s">
        <v>52</v>
      </c>
      <c r="C17" s="12" t="s">
        <v>152</v>
      </c>
      <c r="D17" s="12" t="s">
        <v>5</v>
      </c>
      <c r="E17" s="12" t="s">
        <v>7</v>
      </c>
      <c r="F17" s="12" t="s">
        <v>77</v>
      </c>
      <c r="G17" s="12" t="s">
        <v>86</v>
      </c>
      <c r="H17" s="12" t="s">
        <v>153</v>
      </c>
      <c r="I17" s="12" t="s">
        <v>148</v>
      </c>
      <c r="J17" s="12" t="s">
        <v>154</v>
      </c>
      <c r="K17" s="12" t="s">
        <v>155</v>
      </c>
      <c r="L17" s="15"/>
      <c r="M17" s="15" t="s">
        <v>25</v>
      </c>
      <c r="N17" s="15"/>
      <c r="O17" s="12" t="s">
        <v>83</v>
      </c>
    </row>
    <row r="18" customFormat="false" ht="39.55" hidden="false" customHeight="false" outlineLevel="0" collapsed="false">
      <c r="A18" s="14" t="s">
        <v>156</v>
      </c>
      <c r="B18" s="12" t="s">
        <v>54</v>
      </c>
      <c r="C18" s="12" t="s">
        <v>157</v>
      </c>
      <c r="D18" s="12" t="s">
        <v>5</v>
      </c>
      <c r="E18" s="12" t="s">
        <v>7</v>
      </c>
      <c r="F18" s="12" t="s">
        <v>77</v>
      </c>
      <c r="G18" s="12" t="s">
        <v>86</v>
      </c>
      <c r="H18" s="12" t="s">
        <v>126</v>
      </c>
      <c r="I18" s="12" t="s">
        <v>158</v>
      </c>
      <c r="J18" s="12" t="s">
        <v>159</v>
      </c>
      <c r="K18" s="12" t="s">
        <v>160</v>
      </c>
      <c r="L18" s="15"/>
      <c r="M18" s="15" t="s">
        <v>25</v>
      </c>
      <c r="N18" s="15"/>
      <c r="O18" s="12" t="s">
        <v>83</v>
      </c>
    </row>
    <row r="19" customFormat="false" ht="26.85" hidden="false" customHeight="false" outlineLevel="0" collapsed="false">
      <c r="A19" s="14" t="s">
        <v>161</v>
      </c>
      <c r="B19" s="12" t="s">
        <v>54</v>
      </c>
      <c r="C19" s="12" t="s">
        <v>162</v>
      </c>
      <c r="D19" s="12" t="s">
        <v>5</v>
      </c>
      <c r="E19" s="12" t="s">
        <v>7</v>
      </c>
      <c r="F19" s="12" t="s">
        <v>93</v>
      </c>
      <c r="G19" s="12" t="s">
        <v>163</v>
      </c>
      <c r="H19" s="12" t="s">
        <v>164</v>
      </c>
      <c r="I19" s="12" t="s">
        <v>165</v>
      </c>
      <c r="J19" s="12" t="s">
        <v>166</v>
      </c>
      <c r="K19" s="12" t="s">
        <v>167</v>
      </c>
      <c r="L19" s="15"/>
      <c r="M19" s="15" t="s">
        <v>25</v>
      </c>
      <c r="N19" s="15"/>
      <c r="O19" s="12" t="s">
        <v>83</v>
      </c>
    </row>
    <row r="20" customFormat="false" ht="39.55" hidden="false" customHeight="false" outlineLevel="0" collapsed="false">
      <c r="A20" s="14" t="s">
        <v>168</v>
      </c>
      <c r="B20" s="12" t="s">
        <v>56</v>
      </c>
      <c r="C20" s="12" t="s">
        <v>169</v>
      </c>
      <c r="D20" s="12" t="s">
        <v>5</v>
      </c>
      <c r="E20" s="12" t="s">
        <v>7</v>
      </c>
      <c r="F20" s="12" t="s">
        <v>93</v>
      </c>
      <c r="G20" s="12" t="s">
        <v>78</v>
      </c>
      <c r="H20" s="12" t="s">
        <v>170</v>
      </c>
      <c r="I20" s="12" t="s">
        <v>88</v>
      </c>
      <c r="J20" s="12" t="s">
        <v>171</v>
      </c>
      <c r="K20" s="12" t="s">
        <v>172</v>
      </c>
      <c r="L20" s="15"/>
      <c r="M20" s="15" t="s">
        <v>25</v>
      </c>
      <c r="N20" s="15"/>
      <c r="O20" s="12" t="s">
        <v>83</v>
      </c>
    </row>
    <row r="21" customFormat="false" ht="39.55" hidden="false" customHeight="false" outlineLevel="0" collapsed="false">
      <c r="A21" s="14" t="s">
        <v>173</v>
      </c>
      <c r="B21" s="12" t="s">
        <v>60</v>
      </c>
      <c r="C21" s="12" t="s">
        <v>174</v>
      </c>
      <c r="D21" s="12" t="s">
        <v>5</v>
      </c>
      <c r="E21" s="12" t="s">
        <v>7</v>
      </c>
      <c r="F21" s="12" t="s">
        <v>175</v>
      </c>
      <c r="G21" s="12" t="s">
        <v>86</v>
      </c>
      <c r="H21" s="12" t="s">
        <v>176</v>
      </c>
      <c r="I21" s="12" t="s">
        <v>88</v>
      </c>
      <c r="J21" s="12" t="s">
        <v>177</v>
      </c>
      <c r="K21" s="12" t="s">
        <v>178</v>
      </c>
      <c r="L21" s="15" t="s">
        <v>179</v>
      </c>
      <c r="M21" s="15" t="s">
        <v>23</v>
      </c>
      <c r="N21" s="15" t="s">
        <v>180</v>
      </c>
      <c r="O21" s="12" t="s">
        <v>83</v>
      </c>
    </row>
    <row r="22" customFormat="false" ht="39.55" hidden="false" customHeight="false" outlineLevel="0" collapsed="false">
      <c r="A22" s="14" t="s">
        <v>181</v>
      </c>
      <c r="B22" s="12" t="s">
        <v>60</v>
      </c>
      <c r="C22" s="12" t="s">
        <v>182</v>
      </c>
      <c r="D22" s="12" t="s">
        <v>5</v>
      </c>
      <c r="E22" s="12" t="s">
        <v>7</v>
      </c>
      <c r="F22" s="12" t="s">
        <v>77</v>
      </c>
      <c r="G22" s="12" t="s">
        <v>86</v>
      </c>
      <c r="H22" s="12" t="s">
        <v>79</v>
      </c>
      <c r="I22" s="12" t="s">
        <v>88</v>
      </c>
      <c r="J22" s="12" t="s">
        <v>183</v>
      </c>
      <c r="K22" s="12" t="s">
        <v>184</v>
      </c>
      <c r="L22" s="15"/>
      <c r="M22" s="15" t="s">
        <v>25</v>
      </c>
      <c r="N22" s="15"/>
      <c r="O22" s="12" t="s">
        <v>83</v>
      </c>
    </row>
    <row r="23" customFormat="false" ht="26.85" hidden="false" customHeight="false" outlineLevel="0" collapsed="false">
      <c r="A23" s="14" t="s">
        <v>185</v>
      </c>
      <c r="B23" s="12" t="s">
        <v>60</v>
      </c>
      <c r="C23" s="12" t="s">
        <v>186</v>
      </c>
      <c r="D23" s="12" t="s">
        <v>5</v>
      </c>
      <c r="E23" s="12" t="s">
        <v>7</v>
      </c>
      <c r="F23" s="12" t="s">
        <v>175</v>
      </c>
      <c r="G23" s="12" t="s">
        <v>86</v>
      </c>
      <c r="H23" s="12" t="s">
        <v>88</v>
      </c>
      <c r="I23" s="12" t="s">
        <v>187</v>
      </c>
      <c r="J23" s="12" t="s">
        <v>188</v>
      </c>
      <c r="K23" s="12" t="s">
        <v>189</v>
      </c>
      <c r="L23" s="15"/>
      <c r="M23" s="15" t="s">
        <v>25</v>
      </c>
      <c r="N23" s="15"/>
      <c r="O23" s="12" t="s">
        <v>83</v>
      </c>
    </row>
    <row r="24" customFormat="false" ht="26.85" hidden="false" customHeight="false" outlineLevel="0" collapsed="false">
      <c r="A24" s="14" t="s">
        <v>190</v>
      </c>
      <c r="B24" s="12" t="s">
        <v>60</v>
      </c>
      <c r="C24" s="12" t="s">
        <v>191</v>
      </c>
      <c r="D24" s="12" t="s">
        <v>5</v>
      </c>
      <c r="E24" s="12" t="s">
        <v>7</v>
      </c>
      <c r="F24" s="12" t="s">
        <v>175</v>
      </c>
      <c r="G24" s="12" t="s">
        <v>163</v>
      </c>
      <c r="H24" s="12" t="s">
        <v>192</v>
      </c>
      <c r="I24" s="12" t="s">
        <v>88</v>
      </c>
      <c r="J24" s="12" t="s">
        <v>193</v>
      </c>
      <c r="K24" s="12" t="s">
        <v>194</v>
      </c>
      <c r="L24" s="15"/>
      <c r="M24" s="15" t="s">
        <v>25</v>
      </c>
      <c r="N24" s="15"/>
      <c r="O24" s="12" t="s">
        <v>83</v>
      </c>
    </row>
  </sheetData>
  <autoFilter ref="A3:O24"/>
  <conditionalFormatting sqref="M4:M24">
    <cfRule type="expression" priority="2" aboveAverage="0" equalAverage="0" bottom="0" percent="0" rank="0" text="" dxfId="6">
      <formula>$M4="Passed"</formula>
    </cfRule>
    <cfRule type="expression" priority="3" aboveAverage="0" equalAverage="0" bottom="0" percent="0" rank="0" text="" dxfId="7">
      <formula>$M4="Failed"</formula>
    </cfRule>
    <cfRule type="expression" priority="4" aboveAverage="0" equalAverage="0" bottom="0" percent="0" rank="0" text="" dxfId="8">
      <formula>$M4="Blocked"</formula>
    </cfRule>
  </conditionalFormatting>
  <dataValidations count="1">
    <dataValidation allowBlank="false" errorStyle="stop" operator="between" showDropDown="false" showErrorMessage="false" showInputMessage="false" sqref="M4:M24" type="list">
      <formula1>"Passed,Failed,Blocked,Not Run"</formula1>
      <formula2>0</formula2>
    </dataValidation>
  </dataValidations>
  <hyperlinks>
    <hyperlink ref="A4" r:id="rId2" location="'TC_COM_001'!A1" display="TC_COM_001"/>
    <hyperlink ref="A5" r:id="rId3" location="'TC_COM_002'!A1" display="TC_COM_002"/>
    <hyperlink ref="A6" r:id="rId4" location="'TC_COM_003'!A1" display="TC_COM_003"/>
    <hyperlink ref="A7" r:id="rId5" location="'TC_COM_004'!A1" display="TC_COM_004"/>
    <hyperlink ref="A8" r:id="rId6" location="'TC_COM_005'!A1" display="TC_COM_005"/>
    <hyperlink ref="A9" r:id="rId7" location="'TC_COM_006'!A1" display="TC_COM_006"/>
    <hyperlink ref="A10" r:id="rId8" location="'TC_COM_007'!A1" display="TC_COM_007"/>
    <hyperlink ref="A11" r:id="rId9" location="'TC_COM_008'!A1" display="TC_COM_008"/>
    <hyperlink ref="A12" r:id="rId10" location="'TC_COM_009'!A1" display="TC_COM_009"/>
    <hyperlink ref="A13" r:id="rId11" location="'TC_COM_010'!A1" display="TC_COM_010"/>
    <hyperlink ref="A14" r:id="rId12" location="'TC_COM_011'!A1" display="TC_COM_011"/>
    <hyperlink ref="A15" r:id="rId13" location="'TC_COM_012'!A1" display="TC_COM_012"/>
    <hyperlink ref="A16" r:id="rId14" location="'TC_COM_013'!A1" display="TC_COM_013"/>
    <hyperlink ref="A17" r:id="rId15" location="'TC_COM_014'!A1" display="TC_COM_014"/>
    <hyperlink ref="A18" r:id="rId16" location="'TC_COM_015'!A1" display="TC_COM_015"/>
    <hyperlink ref="A19" r:id="rId17" location="'TC_COM_016'!A1" display="TC_COM_016"/>
    <hyperlink ref="A20" r:id="rId18" location="'TC_COM_017'!A1" display="TC_COM_017"/>
    <hyperlink ref="A21" r:id="rId19" location="'TC_COM_018'!A1" display="TC_COM_018"/>
    <hyperlink ref="A22" r:id="rId20" location="'TC_COM_019'!A1" display="TC_COM_019"/>
    <hyperlink ref="A23" r:id="rId21" location="'TC_COM_020'!A1" display="TC_COM_020"/>
    <hyperlink ref="A24" r:id="rId22" location="'TC_COM_021'!A1" display="TC_COM_0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  <legacy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195</v>
      </c>
    </row>
    <row r="3" customFormat="false" ht="26.85" hidden="false" customHeight="false" outlineLevel="0" collapsed="false">
      <c r="A3" s="16" t="s">
        <v>42</v>
      </c>
      <c r="B3" s="16" t="s">
        <v>43</v>
      </c>
      <c r="C3" s="16" t="s">
        <v>196</v>
      </c>
      <c r="D3" s="16" t="s">
        <v>197</v>
      </c>
      <c r="E3" s="16" t="s">
        <v>22</v>
      </c>
      <c r="F3" s="16" t="s">
        <v>23</v>
      </c>
      <c r="G3" s="16" t="s">
        <v>198</v>
      </c>
    </row>
    <row r="4" customFormat="false" ht="26.85" hidden="false" customHeight="false" outlineLevel="0" collapsed="false">
      <c r="A4" s="12" t="s">
        <v>44</v>
      </c>
      <c r="B4" s="12" t="str">
        <f aca="false">INDEX(Requirements!B:B,MATCH(A4,Requirements!A:A,0))</f>
        <v>Signed-in users can post a comment on an artwork.</v>
      </c>
      <c r="C4" s="12" t="s">
        <v>75</v>
      </c>
      <c r="D4" s="12" t="n">
        <f aca="false">COUNTIF('Test Case'!B4:B24,A4)</f>
        <v>1</v>
      </c>
      <c r="E4" s="12" t="n">
        <f aca="false">COUNTIFS('Test Case'!B4:B24,A4,'Test Case'!M4:M24,"Passed")</f>
        <v>0</v>
      </c>
      <c r="F4" s="12" t="n">
        <f aca="false">COUNTIFS('Test Case'!B4:B24,A4,'Test Case'!M4:M24,"Failed")</f>
        <v>0</v>
      </c>
      <c r="G4" s="12" t="str">
        <f aca="false">IF(D4=0,"Not covered",IF(F4&gt;0,"Covered, failing",IF(E4=D4,"Covered, all passed","Covered")))</f>
        <v>Covered</v>
      </c>
    </row>
    <row r="5" customFormat="false" ht="26.85" hidden="false" customHeight="false" outlineLevel="0" collapsed="false">
      <c r="A5" s="12" t="s">
        <v>46</v>
      </c>
      <c r="B5" s="12" t="str">
        <f aca="false">INDEX(Requirements!B:B,MATCH(A5,Requirements!A:A,0))</f>
        <v>Each comment shows the author, their level and when it was posted.</v>
      </c>
      <c r="C5" s="12" t="s">
        <v>84</v>
      </c>
      <c r="D5" s="12" t="n">
        <f aca="false">COUNTIF('Test Case'!B4:B24,A5)</f>
        <v>1</v>
      </c>
      <c r="E5" s="12" t="n">
        <f aca="false">COUNTIFS('Test Case'!B4:B24,A5,'Test Case'!M4:M24,"Passed")</f>
        <v>0</v>
      </c>
      <c r="F5" s="12" t="n">
        <f aca="false">COUNTIFS('Test Case'!B4:B24,A5,'Test Case'!M4:M24,"Failed")</f>
        <v>0</v>
      </c>
      <c r="G5" s="12" t="str">
        <f aca="false">IF(D5=0,"Not covered",IF(F5&gt;0,"Covered, failing",IF(E5=D5,"Covered, all passed","Covered")))</f>
        <v>Covered</v>
      </c>
    </row>
    <row r="6" customFormat="false" ht="26.85" hidden="false" customHeight="false" outlineLevel="0" collapsed="false">
      <c r="A6" s="12" t="s">
        <v>48</v>
      </c>
      <c r="B6" s="12" t="str">
        <f aca="false">INDEX(Requirements!B:B,MATCH(A6,Requirements!A:A,0))</f>
        <v>Users can delete their own comments, and only their own.</v>
      </c>
      <c r="C6" s="12" t="s">
        <v>199</v>
      </c>
      <c r="D6" s="12" t="n">
        <f aca="false">COUNTIF('Test Case'!B4:B24,A6)</f>
        <v>3</v>
      </c>
      <c r="E6" s="12" t="n">
        <f aca="false">COUNTIFS('Test Case'!B4:B24,A6,'Test Case'!M4:M24,"Passed")</f>
        <v>0</v>
      </c>
      <c r="F6" s="12" t="n">
        <f aca="false">COUNTIFS('Test Case'!B4:B24,A6,'Test Case'!M4:M24,"Failed")</f>
        <v>0</v>
      </c>
      <c r="G6" s="12" t="str">
        <f aca="false">IF(D6=0,"Not covered",IF(F6&gt;0,"Covered, failing",IF(E6=D6,"Covered, all passed","Covered")))</f>
        <v>Covered</v>
      </c>
    </row>
    <row r="7" customFormat="false" ht="26.85" hidden="false" customHeight="false" outlineLevel="0" collapsed="false">
      <c r="A7" s="12" t="s">
        <v>50</v>
      </c>
      <c r="B7" s="12" t="str">
        <f aca="false">INDEX(Requirements!B:B,MATCH(A7,Requirements!A:A,0))</f>
        <v>Users can reply to a comment.</v>
      </c>
      <c r="C7" s="12" t="s">
        <v>124</v>
      </c>
      <c r="D7" s="12" t="n">
        <f aca="false">COUNTIF('Test Case'!B4:B24,A7)</f>
        <v>1</v>
      </c>
      <c r="E7" s="12" t="n">
        <f aca="false">COUNTIFS('Test Case'!B4:B24,A7,'Test Case'!M4:M24,"Passed")</f>
        <v>0</v>
      </c>
      <c r="F7" s="12" t="n">
        <f aca="false">COUNTIFS('Test Case'!B4:B24,A7,'Test Case'!M4:M24,"Failed")</f>
        <v>0</v>
      </c>
      <c r="G7" s="12" t="str">
        <f aca="false">IF(D7=0,"Not covered",IF(F7&gt;0,"Covered, failing",IF(E7=D7,"Covered, all passed","Covered")))</f>
        <v>Covered</v>
      </c>
    </row>
    <row r="8" customFormat="false" ht="26.85" hidden="false" customHeight="false" outlineLevel="0" collapsed="false">
      <c r="A8" s="12" t="s">
        <v>52</v>
      </c>
      <c r="B8" s="12" t="str">
        <f aca="false">INDEX(Requirements!B:B,MATCH(A8,Requirements!A:A,0))</f>
        <v>Users can add and remove reactions on a comment.</v>
      </c>
      <c r="C8" s="12" t="s">
        <v>200</v>
      </c>
      <c r="D8" s="12" t="n">
        <f aca="false">COUNTIF('Test Case'!B4:B24,A8)</f>
        <v>2</v>
      </c>
      <c r="E8" s="12" t="n">
        <f aca="false">COUNTIFS('Test Case'!B4:B24,A8,'Test Case'!M4:M24,"Passed")</f>
        <v>0</v>
      </c>
      <c r="F8" s="12" t="n">
        <f aca="false">COUNTIFS('Test Case'!B4:B24,A8,'Test Case'!M4:M24,"Failed")</f>
        <v>0</v>
      </c>
      <c r="G8" s="12" t="str">
        <f aca="false">IF(D8=0,"Not covered",IF(F8&gt;0,"Covered, failing",IF(E8=D8,"Covered, all passed","Covered")))</f>
        <v>Covered</v>
      </c>
    </row>
    <row r="9" customFormat="false" ht="26.85" hidden="false" customHeight="false" outlineLevel="0" collapsed="false">
      <c r="A9" s="12" t="s">
        <v>54</v>
      </c>
      <c r="B9" s="12" t="str">
        <f aca="false">INDEX(Requirements!B:B,MATCH(A9,Requirements!A:A,0))</f>
        <v>Users can report another user's comment.</v>
      </c>
      <c r="C9" s="12" t="s">
        <v>201</v>
      </c>
      <c r="D9" s="12" t="n">
        <f aca="false">COUNTIF('Test Case'!B4:B24,A9)</f>
        <v>2</v>
      </c>
      <c r="E9" s="12" t="n">
        <f aca="false">COUNTIFS('Test Case'!B4:B24,A9,'Test Case'!M4:M24,"Passed")</f>
        <v>0</v>
      </c>
      <c r="F9" s="12" t="n">
        <f aca="false">COUNTIFS('Test Case'!B4:B24,A9,'Test Case'!M4:M24,"Failed")</f>
        <v>0</v>
      </c>
      <c r="G9" s="12" t="str">
        <f aca="false">IF(D9=0,"Not covered",IF(F9&gt;0,"Covered, failing",IF(E9=D9,"Covered, all passed","Covered")))</f>
        <v>Covered</v>
      </c>
    </row>
    <row r="10" customFormat="false" ht="26.85" hidden="false" customHeight="false" outlineLevel="0" collapsed="false">
      <c r="A10" s="12" t="s">
        <v>56</v>
      </c>
      <c r="B10" s="12" t="str">
        <f aca="false">INDEX(Requirements!B:B,MATCH(A10,Requirements!A:A,0))</f>
        <v>Signed-out visitors can read comments but cannot post, react or report.</v>
      </c>
      <c r="C10" s="12" t="s">
        <v>168</v>
      </c>
      <c r="D10" s="12" t="n">
        <f aca="false">COUNTIF('Test Case'!B4:B24,A10)</f>
        <v>1</v>
      </c>
      <c r="E10" s="12" t="n">
        <f aca="false">COUNTIFS('Test Case'!B4:B24,A10,'Test Case'!M4:M24,"Passed")</f>
        <v>0</v>
      </c>
      <c r="F10" s="12" t="n">
        <f aca="false">COUNTIFS('Test Case'!B4:B24,A10,'Test Case'!M4:M24,"Failed")</f>
        <v>0</v>
      </c>
      <c r="G10" s="12" t="str">
        <f aca="false">IF(D10=0,"Not covered",IF(F10&gt;0,"Covered, failing",IF(E10=D10,"Covered, all passed","Covered")))</f>
        <v>Covered</v>
      </c>
    </row>
    <row r="11" customFormat="false" ht="39.55" hidden="false" customHeight="false" outlineLevel="0" collapsed="false">
      <c r="A11" s="12" t="s">
        <v>58</v>
      </c>
      <c r="B11" s="12" t="str">
        <f aca="false">INDEX(Requirements!B:B,MATCH(A11,Requirements!A:A,0))</f>
        <v>The comment box rejects empty, over-limit and unsafe input, and limits posting speed.</v>
      </c>
      <c r="C11" s="12" t="s">
        <v>202</v>
      </c>
      <c r="D11" s="12" t="n">
        <f aca="false">COUNTIF('Test Case'!B4:B24,A11)</f>
        <v>6</v>
      </c>
      <c r="E11" s="12" t="n">
        <f aca="false">COUNTIFS('Test Case'!B4:B24,A11,'Test Case'!M4:M24,"Passed")</f>
        <v>0</v>
      </c>
      <c r="F11" s="12" t="n">
        <f aca="false">COUNTIFS('Test Case'!B4:B24,A11,'Test Case'!M4:M24,"Failed")</f>
        <v>0</v>
      </c>
      <c r="G11" s="12" t="str">
        <f aca="false">IF(D11=0,"Not covered",IF(F11&gt;0,"Covered, failing",IF(E11=D11,"Covered, all passed","Covered")))</f>
        <v>Covered</v>
      </c>
    </row>
    <row r="12" customFormat="false" ht="26.85" hidden="false" customHeight="false" outlineLevel="0" collapsed="false">
      <c r="A12" s="12" t="s">
        <v>60</v>
      </c>
      <c r="B12" s="12" t="str">
        <f aca="false">INDEX(Requirements!B:B,MATCH(A12,Requirements!A:A,0))</f>
        <v>Comment actions look consistent, work with a keyboard and fit on small screens.</v>
      </c>
      <c r="C12" s="12" t="s">
        <v>203</v>
      </c>
      <c r="D12" s="12" t="n">
        <f aca="false">COUNTIF('Test Case'!B4:B24,A12)</f>
        <v>4</v>
      </c>
      <c r="E12" s="12" t="n">
        <f aca="false">COUNTIFS('Test Case'!B4:B24,A12,'Test Case'!M4:M24,"Passed")</f>
        <v>0</v>
      </c>
      <c r="F12" s="12" t="n">
        <f aca="false">COUNTIFS('Test Case'!B4:B24,A12,'Test Case'!M4:M24,"Failed")</f>
        <v>1</v>
      </c>
      <c r="G12" s="12" t="str">
        <f aca="false">IF(D12=0,"Not covered",IF(F12&gt;0,"Covered, failing",IF(E12=D12,"Covered, all passed","Covered")))</f>
        <v>Covered, failing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36"/>
    <col collapsed="false" customWidth="true" hidden="false" outlineLevel="0" max="9" min="9" style="0" width="40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204</v>
      </c>
    </row>
    <row r="3" customFormat="false" ht="15" hidden="false" customHeight="false" outlineLevel="0" collapsed="false">
      <c r="A3" s="11" t="s">
        <v>73</v>
      </c>
      <c r="B3" s="11" t="s">
        <v>64</v>
      </c>
      <c r="C3" s="11" t="s">
        <v>205</v>
      </c>
      <c r="D3" s="11" t="s">
        <v>206</v>
      </c>
      <c r="E3" s="11" t="s">
        <v>67</v>
      </c>
      <c r="F3" s="11" t="s">
        <v>207</v>
      </c>
      <c r="G3" s="11" t="s">
        <v>32</v>
      </c>
      <c r="H3" s="11" t="s">
        <v>208</v>
      </c>
      <c r="I3" s="11" t="s">
        <v>209</v>
      </c>
      <c r="J3" s="11" t="s">
        <v>210</v>
      </c>
    </row>
    <row r="4" customFormat="false" ht="39.55" hidden="false" customHeight="false" outlineLevel="0" collapsed="false">
      <c r="A4" s="12" t="s">
        <v>180</v>
      </c>
      <c r="B4" s="12" t="s">
        <v>173</v>
      </c>
      <c r="C4" s="12" t="s">
        <v>211</v>
      </c>
      <c r="D4" s="12" t="s">
        <v>163</v>
      </c>
      <c r="E4" s="12" t="s">
        <v>86</v>
      </c>
      <c r="F4" s="12" t="s">
        <v>212</v>
      </c>
      <c r="G4" s="12" t="s">
        <v>213</v>
      </c>
      <c r="H4" s="12" t="s">
        <v>214</v>
      </c>
      <c r="I4" s="12" t="s">
        <v>215</v>
      </c>
      <c r="J4" s="12" t="s">
        <v>216</v>
      </c>
    </row>
  </sheetData>
  <dataValidations count="1">
    <dataValidation allowBlank="false" errorStyle="stop" operator="between" showDropDown="false" showErrorMessage="false" showInputMessage="false" sqref="G4:G100" type="list">
      <formula1>"Open,Fixed,Verified,Closed"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218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219</v>
      </c>
    </row>
    <row r="4" customFormat="false" ht="15" hidden="false" customHeight="false" outlineLevel="0" collapsed="false">
      <c r="B4" s="4" t="s">
        <v>64</v>
      </c>
      <c r="C4" s="19" t="s">
        <v>220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15" hidden="false" customHeight="false" outlineLevel="0" collapsed="false">
      <c r="B7" s="12" t="n">
        <v>1</v>
      </c>
      <c r="C7" s="12" t="s">
        <v>225</v>
      </c>
      <c r="D7" s="12" t="s">
        <v>226</v>
      </c>
      <c r="E7" s="15"/>
      <c r="F7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2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81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76</v>
      </c>
    </row>
    <row r="4" customFormat="false" ht="15" hidden="false" customHeight="false" outlineLevel="0" collapsed="false">
      <c r="B4" s="4" t="s">
        <v>64</v>
      </c>
      <c r="C4" s="19" t="s">
        <v>75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228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230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231</v>
      </c>
      <c r="D9" s="12" t="s">
        <v>232</v>
      </c>
      <c r="E9" s="15"/>
      <c r="F9" s="15"/>
    </row>
    <row r="10" customFormat="false" ht="26.85" hidden="false" customHeight="false" outlineLevel="0" collapsed="false">
      <c r="B10" s="12" t="n">
        <v>4</v>
      </c>
      <c r="C10" s="12" t="s">
        <v>233</v>
      </c>
      <c r="D10" s="12" t="s">
        <v>234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89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85</v>
      </c>
    </row>
    <row r="4" customFormat="false" ht="15" hidden="false" customHeight="false" outlineLevel="0" collapsed="false">
      <c r="B4" s="4" t="s">
        <v>64</v>
      </c>
      <c r="C4" s="19" t="s">
        <v>84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237</v>
      </c>
      <c r="D9" s="12" t="s">
        <v>238</v>
      </c>
      <c r="E9" s="15"/>
      <c r="F9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4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95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92</v>
      </c>
    </row>
    <row r="4" customFormat="false" ht="15" hidden="false" customHeight="false" outlineLevel="0" collapsed="false">
      <c r="B4" s="4" t="s">
        <v>64</v>
      </c>
      <c r="C4" s="19" t="s">
        <v>91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239</v>
      </c>
      <c r="D9" s="12" t="s">
        <v>240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241</v>
      </c>
      <c r="D10" s="12" t="s">
        <v>242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100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98</v>
      </c>
    </row>
    <row r="4" customFormat="false" ht="15" hidden="false" customHeight="false" outlineLevel="0" collapsed="false">
      <c r="B4" s="4" t="s">
        <v>64</v>
      </c>
      <c r="C4" s="19" t="s">
        <v>97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243</v>
      </c>
      <c r="D9" s="12" t="s">
        <v>244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241</v>
      </c>
      <c r="D10" s="12" t="s">
        <v>245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107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103</v>
      </c>
    </row>
    <row r="4" customFormat="false" ht="15" hidden="false" customHeight="false" outlineLevel="0" collapsed="false">
      <c r="B4" s="4" t="s">
        <v>64</v>
      </c>
      <c r="C4" s="19" t="s">
        <v>102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15" hidden="false" customHeight="false" outlineLevel="0" collapsed="false">
      <c r="B9" s="12" t="n">
        <v>3</v>
      </c>
      <c r="C9" s="12" t="s">
        <v>246</v>
      </c>
      <c r="D9" s="12" t="s">
        <v>247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248</v>
      </c>
      <c r="D10" s="12" t="s">
        <v>249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112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110</v>
      </c>
    </row>
    <row r="4" customFormat="false" ht="15" hidden="false" customHeight="false" outlineLevel="0" collapsed="false">
      <c r="B4" s="4" t="s">
        <v>64</v>
      </c>
      <c r="C4" s="19" t="s">
        <v>109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250</v>
      </c>
      <c r="D9" s="12" t="s">
        <v>251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233</v>
      </c>
      <c r="D10" s="12" t="s">
        <v>252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117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115</v>
      </c>
    </row>
    <row r="4" customFormat="false" ht="15" hidden="false" customHeight="false" outlineLevel="0" collapsed="false">
      <c r="B4" s="4" t="s">
        <v>64</v>
      </c>
      <c r="C4" s="19" t="s">
        <v>114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253</v>
      </c>
      <c r="D9" s="12" t="s">
        <v>247</v>
      </c>
      <c r="E9" s="15"/>
      <c r="F9" s="15"/>
    </row>
    <row r="10" customFormat="false" ht="26.85" hidden="false" customHeight="false" outlineLevel="0" collapsed="false">
      <c r="B10" s="12" t="n">
        <v>4</v>
      </c>
      <c r="C10" s="12" t="s">
        <v>254</v>
      </c>
      <c r="D10" s="12" t="s">
        <v>255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122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120</v>
      </c>
    </row>
    <row r="4" customFormat="false" ht="15" hidden="false" customHeight="false" outlineLevel="0" collapsed="false">
      <c r="B4" s="4" t="s">
        <v>64</v>
      </c>
      <c r="C4" s="19" t="s">
        <v>119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15" hidden="false" customHeight="false" outlineLevel="0" collapsed="false">
      <c r="B9" s="12" t="n">
        <v>3</v>
      </c>
      <c r="C9" s="12" t="s">
        <v>256</v>
      </c>
      <c r="D9" s="12" t="s">
        <v>257</v>
      </c>
      <c r="E9" s="15"/>
      <c r="F9" s="15"/>
    </row>
    <row r="10" customFormat="false" ht="26.85" hidden="false" customHeight="false" outlineLevel="0" collapsed="false">
      <c r="B10" s="12" t="n">
        <v>4</v>
      </c>
      <c r="C10" s="12" t="s">
        <v>258</v>
      </c>
      <c r="D10" s="12" t="s">
        <v>259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128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125</v>
      </c>
    </row>
    <row r="4" customFormat="false" ht="15" hidden="false" customHeight="false" outlineLevel="0" collapsed="false">
      <c r="B4" s="4" t="s">
        <v>64</v>
      </c>
      <c r="C4" s="19" t="s">
        <v>124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15" hidden="false" customHeight="false" outlineLevel="0" collapsed="false">
      <c r="B9" s="12" t="n">
        <v>3</v>
      </c>
      <c r="C9" s="12" t="s">
        <v>260</v>
      </c>
      <c r="D9" s="12" t="s">
        <v>261</v>
      </c>
      <c r="E9" s="15"/>
      <c r="F9" s="15"/>
    </row>
    <row r="10" customFormat="false" ht="26.85" hidden="false" customHeight="false" outlineLevel="0" collapsed="false">
      <c r="B10" s="12" t="n">
        <v>4</v>
      </c>
      <c r="C10" s="12" t="s">
        <v>262</v>
      </c>
      <c r="D10" s="12" t="s">
        <v>263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134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131</v>
      </c>
    </row>
    <row r="4" customFormat="false" ht="15" hidden="false" customHeight="false" outlineLevel="0" collapsed="false">
      <c r="B4" s="4" t="s">
        <v>64</v>
      </c>
      <c r="C4" s="19" t="s">
        <v>130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15" hidden="false" customHeight="false" outlineLevel="0" collapsed="false">
      <c r="B8" s="12" t="n">
        <v>2</v>
      </c>
      <c r="C8" s="12" t="s">
        <v>264</v>
      </c>
      <c r="D8" s="12" t="s">
        <v>265</v>
      </c>
      <c r="E8" s="15"/>
      <c r="F8" s="15"/>
    </row>
    <row r="9" customFormat="false" ht="15" hidden="false" customHeight="false" outlineLevel="0" collapsed="false">
      <c r="B9" s="12" t="n">
        <v>3</v>
      </c>
      <c r="C9" s="12" t="s">
        <v>266</v>
      </c>
      <c r="D9" s="12" t="s">
        <v>267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241</v>
      </c>
      <c r="D10" s="12" t="s">
        <v>268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138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137</v>
      </c>
    </row>
    <row r="4" customFormat="false" ht="15" hidden="false" customHeight="false" outlineLevel="0" collapsed="false">
      <c r="B4" s="4" t="s">
        <v>64</v>
      </c>
      <c r="C4" s="19" t="s">
        <v>136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269</v>
      </c>
      <c r="D9" s="12" t="s">
        <v>270</v>
      </c>
      <c r="E9" s="15"/>
      <c r="F9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4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144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141</v>
      </c>
    </row>
    <row r="4" customFormat="false" ht="15" hidden="false" customHeight="false" outlineLevel="0" collapsed="false">
      <c r="B4" s="4" t="s">
        <v>64</v>
      </c>
      <c r="C4" s="19" t="s">
        <v>140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271</v>
      </c>
      <c r="D7" s="12" t="s">
        <v>236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272</v>
      </c>
      <c r="D8" s="12" t="s">
        <v>273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274</v>
      </c>
      <c r="D9" s="12" t="s">
        <v>275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241</v>
      </c>
      <c r="D10" s="12" t="s">
        <v>276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149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147</v>
      </c>
    </row>
    <row r="4" customFormat="false" ht="15" hidden="false" customHeight="false" outlineLevel="0" collapsed="false">
      <c r="B4" s="4" t="s">
        <v>64</v>
      </c>
      <c r="C4" s="19" t="s">
        <v>146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277</v>
      </c>
      <c r="D9" s="12" t="s">
        <v>278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241</v>
      </c>
      <c r="D10" s="12" t="s">
        <v>279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154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152</v>
      </c>
    </row>
    <row r="4" customFormat="false" ht="15" hidden="false" customHeight="false" outlineLevel="0" collapsed="false">
      <c r="B4" s="4" t="s">
        <v>64</v>
      </c>
      <c r="C4" s="19" t="s">
        <v>151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15" hidden="false" customHeight="false" outlineLevel="0" collapsed="false">
      <c r="B8" s="12" t="n">
        <v>2</v>
      </c>
      <c r="C8" s="12" t="s">
        <v>280</v>
      </c>
      <c r="D8" s="12" t="s">
        <v>281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282</v>
      </c>
      <c r="D9" s="12" t="s">
        <v>283</v>
      </c>
      <c r="E9" s="15"/>
      <c r="F9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4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159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157</v>
      </c>
    </row>
    <row r="4" customFormat="false" ht="15" hidden="false" customHeight="false" outlineLevel="0" collapsed="false">
      <c r="B4" s="4" t="s">
        <v>64</v>
      </c>
      <c r="C4" s="19" t="s">
        <v>156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15" hidden="false" customHeight="false" outlineLevel="0" collapsed="false">
      <c r="B9" s="12" t="n">
        <v>3</v>
      </c>
      <c r="C9" s="12" t="s">
        <v>284</v>
      </c>
      <c r="D9" s="12" t="s">
        <v>285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286</v>
      </c>
      <c r="D10" s="12" t="s">
        <v>287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166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162</v>
      </c>
    </row>
    <row r="4" customFormat="false" ht="15" hidden="false" customHeight="false" outlineLevel="0" collapsed="false">
      <c r="B4" s="4" t="s">
        <v>64</v>
      </c>
      <c r="C4" s="19" t="s">
        <v>161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15" hidden="false" customHeight="false" outlineLevel="0" collapsed="false">
      <c r="B8" s="12" t="n">
        <v>2</v>
      </c>
      <c r="C8" s="12" t="s">
        <v>288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289</v>
      </c>
      <c r="D9" s="12" t="s">
        <v>290</v>
      </c>
      <c r="E9" s="15"/>
      <c r="F9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4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171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169</v>
      </c>
    </row>
    <row r="4" customFormat="false" ht="15" hidden="false" customHeight="false" outlineLevel="0" collapsed="false">
      <c r="B4" s="4" t="s">
        <v>64</v>
      </c>
      <c r="C4" s="19" t="s">
        <v>168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291</v>
      </c>
      <c r="D7" s="12" t="s">
        <v>292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293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294</v>
      </c>
      <c r="D9" s="12" t="s">
        <v>295</v>
      </c>
      <c r="E9" s="15"/>
      <c r="F9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4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177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174</v>
      </c>
    </row>
    <row r="4" customFormat="false" ht="15" hidden="false" customHeight="false" outlineLevel="0" collapsed="false">
      <c r="B4" s="4" t="s">
        <v>64</v>
      </c>
      <c r="C4" s="19" t="s">
        <v>173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 t="s">
        <v>296</v>
      </c>
      <c r="F7" s="15" t="s">
        <v>22</v>
      </c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 t="s">
        <v>296</v>
      </c>
      <c r="F8" s="15" t="s">
        <v>22</v>
      </c>
    </row>
    <row r="9" customFormat="false" ht="26.85" hidden="false" customHeight="false" outlineLevel="0" collapsed="false">
      <c r="B9" s="12" t="n">
        <v>3</v>
      </c>
      <c r="C9" s="12" t="s">
        <v>297</v>
      </c>
      <c r="D9" s="12" t="s">
        <v>298</v>
      </c>
      <c r="E9" s="15" t="s">
        <v>299</v>
      </c>
      <c r="F9" s="15" t="s">
        <v>23</v>
      </c>
    </row>
    <row r="10" customFormat="false" ht="26.85" hidden="false" customHeight="false" outlineLevel="0" collapsed="false">
      <c r="B10" s="12" t="n">
        <v>4</v>
      </c>
      <c r="C10" s="12" t="s">
        <v>300</v>
      </c>
      <c r="D10" s="12" t="s">
        <v>301</v>
      </c>
      <c r="E10" s="15" t="s">
        <v>302</v>
      </c>
      <c r="F10" s="15" t="s">
        <v>23</v>
      </c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183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182</v>
      </c>
    </row>
    <row r="4" customFormat="false" ht="15" hidden="false" customHeight="false" outlineLevel="0" collapsed="false">
      <c r="B4" s="4" t="s">
        <v>64</v>
      </c>
      <c r="C4" s="19" t="s">
        <v>181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303</v>
      </c>
      <c r="D9" s="12" t="s">
        <v>304</v>
      </c>
      <c r="E9" s="15"/>
      <c r="F9" s="15"/>
    </row>
    <row r="10" customFormat="false" ht="15" hidden="false" customHeight="false" outlineLevel="0" collapsed="false">
      <c r="B10" s="12" t="n">
        <v>4</v>
      </c>
      <c r="C10" s="12" t="s">
        <v>305</v>
      </c>
      <c r="D10" s="12" t="s">
        <v>306</v>
      </c>
      <c r="E10" s="15"/>
      <c r="F10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5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188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186</v>
      </c>
    </row>
    <row r="4" customFormat="false" ht="15" hidden="false" customHeight="false" outlineLevel="0" collapsed="false">
      <c r="B4" s="4" t="s">
        <v>64</v>
      </c>
      <c r="C4" s="19" t="s">
        <v>185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307</v>
      </c>
      <c r="D7" s="12" t="s">
        <v>308</v>
      </c>
      <c r="E7" s="15"/>
      <c r="F7" s="15"/>
    </row>
    <row r="8" customFormat="false" ht="26.85" hidden="false" customHeight="false" outlineLevel="0" collapsed="false">
      <c r="B8" s="12" t="n">
        <v>2</v>
      </c>
      <c r="C8" s="12" t="s">
        <v>229</v>
      </c>
      <c r="D8" s="12" t="s">
        <v>236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309</v>
      </c>
      <c r="D9" s="12" t="s">
        <v>310</v>
      </c>
      <c r="E9" s="15"/>
      <c r="F9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4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48"/>
    <col collapsed="false" customWidth="true" hidden="false" outlineLevel="0" max="5" min="5" style="0" width="36"/>
    <col collapsed="false" customWidth="true" hidden="false" outlineLevel="0" max="6" min="6" style="0" width="11"/>
  </cols>
  <sheetData>
    <row r="2" customFormat="false" ht="15" hidden="false" customHeight="true" outlineLevel="0" collapsed="false">
      <c r="B2" s="4" t="s">
        <v>217</v>
      </c>
      <c r="C2" s="17" t="s">
        <v>193</v>
      </c>
      <c r="D2" s="17"/>
      <c r="E2" s="17"/>
      <c r="F2" s="17"/>
    </row>
    <row r="3" customFormat="false" ht="15" hidden="false" customHeight="false" outlineLevel="0" collapsed="false">
      <c r="B3" s="4" t="s">
        <v>65</v>
      </c>
      <c r="C3" s="18" t="s">
        <v>191</v>
      </c>
    </row>
    <row r="4" customFormat="false" ht="15" hidden="false" customHeight="false" outlineLevel="0" collapsed="false">
      <c r="B4" s="4" t="s">
        <v>64</v>
      </c>
      <c r="C4" s="19" t="s">
        <v>190</v>
      </c>
      <c r="E4" s="20" t="s">
        <v>221</v>
      </c>
    </row>
    <row r="6" customFormat="false" ht="15" hidden="false" customHeight="false" outlineLevel="0" collapsed="false">
      <c r="B6" s="11" t="s">
        <v>222</v>
      </c>
      <c r="C6" s="11" t="s">
        <v>223</v>
      </c>
      <c r="D6" s="11" t="s">
        <v>224</v>
      </c>
      <c r="E6" s="11" t="s">
        <v>72</v>
      </c>
      <c r="F6" s="11" t="s">
        <v>32</v>
      </c>
    </row>
    <row r="7" customFormat="false" ht="26.85" hidden="false" customHeight="false" outlineLevel="0" collapsed="false">
      <c r="B7" s="12" t="n">
        <v>1</v>
      </c>
      <c r="C7" s="12" t="s">
        <v>227</v>
      </c>
      <c r="D7" s="12" t="s">
        <v>235</v>
      </c>
      <c r="E7" s="15"/>
      <c r="F7" s="15"/>
    </row>
    <row r="8" customFormat="false" ht="15" hidden="false" customHeight="false" outlineLevel="0" collapsed="false">
      <c r="B8" s="12" t="n">
        <v>2</v>
      </c>
      <c r="C8" s="12" t="s">
        <v>311</v>
      </c>
      <c r="D8" s="12" t="s">
        <v>312</v>
      </c>
      <c r="E8" s="15"/>
      <c r="F8" s="15"/>
    </row>
    <row r="9" customFormat="false" ht="26.85" hidden="false" customHeight="false" outlineLevel="0" collapsed="false">
      <c r="B9" s="12" t="n">
        <v>3</v>
      </c>
      <c r="C9" s="12" t="s">
        <v>229</v>
      </c>
      <c r="D9" s="12" t="s">
        <v>313</v>
      </c>
      <c r="E9" s="15"/>
      <c r="F9" s="15"/>
    </row>
  </sheetData>
  <mergeCells count="1">
    <mergeCell ref="C2:F2"/>
  </mergeCells>
  <dataValidations count="1">
    <dataValidation allowBlank="true" errorStyle="stop" operator="between" showDropDown="false" showErrorMessage="false" showInputMessage="false" sqref="F7:F14" type="list">
      <formula1>"Passed,Failed,Blocked,Not Run"</formula1>
      <formula2>0</formula2>
    </dataValidation>
  </dataValidations>
  <hyperlinks>
    <hyperlink ref="E4" r:id="rId1" location="'Test%20Case'!A1" display="Back to Test Case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2026-10-15T09:09:25Z</dcterms:created>
  <dc:creator>openpyxl</dc:creator>
  <dc:description/>
  <dc:language>en-US</dc:language>
  <cp:lastModifiedBy/>
  <dcterms:modified xsi:type="dcterms:W3CDTF">2026-10-15T09:09:25Z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